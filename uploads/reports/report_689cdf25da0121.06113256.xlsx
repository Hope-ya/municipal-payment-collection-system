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<sst xmlns="http://schemas.openxmlformats.org/spreadsheetml/2006/main" uniqueCount="79">
  <si>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Republic of the Philippines</t>
  </si>
  <si>
    <t>Province of Laguna</t>
  </si>
  <si>
    <t>Municipality of Santa Maria</t>
  </si>
  <si>
    <t>QUARTERLY REPORT OF REVENUE AND RECEIPTS</t>
  </si>
  <si>
    <t>REVENUE SOURCES</t>
  </si>
  <si>
    <t>JULY</t>
  </si>
  <si>
    <t>AUGUST</t>
  </si>
  <si>
    <t>SEPTEMBER</t>
  </si>
  <si>
    <t>TOTAL</t>
  </si>
  <si>
    <t>Certified Correct by:</t>
  </si>
  <si>
    <t>Lorena L. De Torres</t>
  </si>
  <si>
    <t>Jazmin Dorado</t>
  </si>
  <si>
    <t>Encoder</t>
  </si>
  <si>
    <t>Municipal Treasurer</t>
  </si>
  <si>
    <t>TAX ON BUSINESS</t>
  </si>
  <si>
    <t>Amusement Tax (Provincial Account)</t>
  </si>
  <si>
    <t>Business Taxes</t>
  </si>
  <si>
    <t>Retailers</t>
  </si>
  <si>
    <t>Contractors</t>
  </si>
  <si>
    <t>Banks &amp; Other Financial Institutions</t>
  </si>
  <si>
    <t>Interest / Surcharge</t>
  </si>
  <si>
    <t>OTHER TAXES:</t>
  </si>
  <si>
    <t>Community Tax - Corporation</t>
  </si>
  <si>
    <t>Community Tax - Individual</t>
  </si>
  <si>
    <t>REGULATORY FEES (PERMITS &amp; LICENSES)</t>
  </si>
  <si>
    <t>Permits and Licenses</t>
  </si>
  <si>
    <t>Fees on weights &amp; measures</t>
  </si>
  <si>
    <t>Franchising &amp; licensing Fees</t>
  </si>
  <si>
    <t>Permit Fees/ Mayor's Permit Fees</t>
  </si>
  <si>
    <t>Building Permit Fees</t>
  </si>
  <si>
    <t>Zonal/Location Permit Fees</t>
  </si>
  <si>
    <t>Burial Permit Fees</t>
  </si>
  <si>
    <t>Sanitary Permit Fees</t>
  </si>
  <si>
    <t>Other Permits &amp; Licenses:</t>
  </si>
  <si>
    <t>Marriage License</t>
  </si>
  <si>
    <t>Application for Marriage</t>
  </si>
  <si>
    <t>Registration Fees:</t>
  </si>
  <si>
    <t>Cattle/Animal Registration fees</t>
  </si>
  <si>
    <t>Birth Certificate (New Born) Fees</t>
  </si>
  <si>
    <t>Inspection Fees</t>
  </si>
  <si>
    <t>SERVICE/ USER CHARGES (Service Income)</t>
  </si>
  <si>
    <t>Clearance and Certification Fees</t>
  </si>
  <si>
    <t>Police Clearance</t>
  </si>
  <si>
    <t>Secretary's Fees</t>
  </si>
  <si>
    <t>Death Certificate</t>
  </si>
  <si>
    <t>Birth Certificate</t>
  </si>
  <si>
    <t>Marriage Certificate</t>
  </si>
  <si>
    <t>Assessor's Certificate</t>
  </si>
  <si>
    <t>MTO certificate</t>
  </si>
  <si>
    <t>Health Certificate (Medical)</t>
  </si>
  <si>
    <t>Other Clearance &amp; Cert./Mayor's Clearance</t>
  </si>
  <si>
    <t>Garbage Fees</t>
  </si>
  <si>
    <t>Medical, Dental &amp; Laboratory Fees</t>
  </si>
  <si>
    <t>Other Service Income</t>
  </si>
  <si>
    <t>Solemnization Fees</t>
  </si>
  <si>
    <t>Electrical Fees</t>
  </si>
  <si>
    <t>Annotation Fees</t>
  </si>
  <si>
    <t>STL</t>
  </si>
  <si>
    <t>Backfilling/Hauling</t>
  </si>
  <si>
    <t>Miscellaneous Fees</t>
  </si>
  <si>
    <t>RA 9048, 10172 &amp; 9255</t>
  </si>
  <si>
    <t>BREQS</t>
  </si>
  <si>
    <t>Interest Income</t>
  </si>
  <si>
    <t>Marilag Ecopark</t>
  </si>
  <si>
    <t>RECEIPTS FROM ECONOMIC ENTERPRISES (BUSINESS INCOME)</t>
  </si>
  <si>
    <t>Cemetery Operations:</t>
  </si>
  <si>
    <t>Cemeteries</t>
  </si>
  <si>
    <t>Municipal Lot</t>
  </si>
  <si>
    <t>Market Operations:</t>
  </si>
  <si>
    <t>Stall Goodwill</t>
  </si>
  <si>
    <t>Stall Rentals</t>
  </si>
  <si>
    <t>Slaughter House Operations:</t>
  </si>
  <si>
    <t>Water Works System Operations</t>
  </si>
  <si>
    <t>Registration</t>
  </si>
  <si>
    <t>Monthly dues</t>
  </si>
  <si>
    <t>LOCAL SOURCES</t>
  </si>
  <si>
    <t>OTHER INCOME/RECEIPTS (OTHER GENERAL INCOME)</t>
  </si>
  <si>
    <t>IRA</t>
  </si>
  <si>
    <t>GRAND TOTAL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</si>
</sst>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00B050"/>
      <name val="Calibri"/>
    </font>
    <font>
      <b val="1"/>
      <i val="0"/>
      <strike val="0"/>
      <u val="none"/>
      <sz val="11"/>
      <color rgb="FF0070C0"/>
      <name val="Calibri"/>
    </font>
    <font>
      <b val="1"/>
      <i val="0"/>
      <strike val="0"/>
      <u val="none"/>
      <sz val="11"/>
      <color rgb="FF7030A0"/>
      <name val="Calibri"/>
    </font>
    <font>
      <b val="1"/>
      <i val="0"/>
      <strike val="0"/>
      <u val="none"/>
      <sz val="11"/>
      <color rgb="FF833C0B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0"/>
    <xf xfId="0" fontId="0" numFmtId="0" fillId="0" borderId="5" applyFont="0" applyNumberFormat="0" applyFill="0" applyBorder="1" applyAlignment="0"/>
    <xf xfId="0" fontId="4" numFmtId="0" fillId="0" borderId="5" applyFont="1" applyNumberFormat="0" applyFill="0" applyBorder="1" applyAlignment="0"/>
    <xf xfId="0" fontId="4" numFmtId="4" fillId="0" borderId="5" applyFont="1" applyNumberFormat="1" applyFill="0" applyBorder="1" applyAlignment="1">
      <alignment horizontal="center" vertical="bottom" textRotation="0" wrapText="false" shrinkToFit="false"/>
    </xf>
    <xf xfId="0" fontId="5" numFmtId="4" fillId="0" borderId="4" applyFont="1" applyNumberFormat="1" applyFill="0" applyBorder="1" applyAlignment="1">
      <alignment horizontal="center" vertical="bottom" textRotation="0" wrapText="false" shrinkToFit="false"/>
    </xf>
    <xf xfId="0" fontId="0" numFmtId="4" fillId="0" borderId="4" applyFont="0" applyNumberFormat="1" applyFill="0" applyBorder="1" applyAlignment="1">
      <alignment horizontal="center" vertical="bottom" textRotation="0" wrapText="false" shrinkToFit="false"/>
    </xf>
    <xf xfId="0" fontId="5" numFmtId="4" fillId="0" borderId="5" applyFont="1" applyNumberFormat="1" applyFill="0" applyBorder="1" applyAlignment="1">
      <alignment horizontal="center" vertical="bottom" textRotation="0" wrapText="false" shrinkToFit="false"/>
    </xf>
    <xf xfId="0" fontId="4" numFmtId="4" fillId="0" borderId="4" applyFont="1" applyNumberFormat="1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1">
      <alignment horizontal="center" vertical="bottom" textRotation="0" wrapText="false" shrinkToFit="false"/>
    </xf>
    <xf xfId="0" fontId="6" numFmtId="4" fillId="0" borderId="5" applyFont="1" applyNumberFormat="1" applyFill="0" applyBorder="1" applyAlignment="1">
      <alignment horizontal="center" vertical="bottom" textRotation="0" wrapText="false" shrinkToFit="false"/>
    </xf>
    <xf xfId="0" fontId="7" numFmtId="4" fillId="0" borderId="5" applyFont="1" applyNumberFormat="1" applyFill="0" applyBorder="1" applyAlignment="1">
      <alignment horizontal="center" vertical="bottom" textRotation="0" wrapText="false" shrinkToFit="false"/>
    </xf>
    <xf xfId="0" fontId="3" numFmtId="4" fillId="0" borderId="0" applyFont="1" applyNumberFormat="1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/>
    <xf xfId="0" fontId="2" numFmtId="4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0"/>
  <sheetViews>
    <sheetView tabSelected="1" workbookViewId="0" showGridLines="true" showRowColHeaders="1">
      <selection activeCell="D9" sqref="D9:G100"/>
    </sheetView>
  </sheetViews>
  <sheetFormatPr defaultRowHeight="14.4" outlineLevelRow="0" outlineLevelCol="0"/>
  <cols>
    <col min="1" max="1" width="7" customWidth="true" style="0"/>
    <col min="2" max="2" width="7" customWidth="true" style="0"/>
    <col min="3" max="3" width="4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2" t="s">
        <v>0</v>
      </c>
    </row>
    <row r="2" spans="1:7">
      <c r="A2" s="2" t="s">
        <v>1</v>
      </c>
    </row>
    <row r="3" spans="1:7">
      <c r="A3" s="2" t="s">
        <v>2</v>
      </c>
    </row>
    <row r="5" spans="1:7">
      <c r="A5" s="2" t="s">
        <v>3</v>
      </c>
    </row>
    <row r="7" spans="1:7" customHeight="1" ht="30">
      <c r="A7" s="9" t="s">
        <v>4</v>
      </c>
      <c r="B7" s="9"/>
      <c r="C7" s="9"/>
      <c r="D7" s="9" t="s">
        <v>5</v>
      </c>
      <c r="E7" s="9" t="s">
        <v>6</v>
      </c>
      <c r="F7" s="9" t="s">
        <v>7</v>
      </c>
      <c r="G7" s="9" t="s">
        <v>8</v>
      </c>
    </row>
    <row r="8" spans="1:7">
      <c r="A8" s="6"/>
      <c r="B8" s="5"/>
      <c r="C8" s="7"/>
      <c r="D8" s="8"/>
      <c r="E8" s="8"/>
      <c r="F8" s="8"/>
      <c r="G8" s="8"/>
    </row>
    <row r="9" spans="1:7">
      <c r="A9" s="10" t="s">
        <v>14</v>
      </c>
      <c r="B9" s="11"/>
      <c r="C9" s="11"/>
      <c r="D9" s="13">
        <f>SUM(D10,D12,D18)</f>
        <v>0</v>
      </c>
      <c r="E9" s="13">
        <f>SUM(E10,E12,E18)</f>
        <v>0</v>
      </c>
      <c r="F9" s="13">
        <f>SUM(F10,F12,F18)</f>
        <v>0</v>
      </c>
      <c r="G9" s="13">
        <f>SUM(D9:F9)</f>
        <v>0</v>
      </c>
    </row>
    <row r="10" spans="1:7">
      <c r="B10" t="s">
        <v>15</v>
      </c>
      <c r="D10" s="14"/>
      <c r="E10" s="14"/>
      <c r="F10" s="14"/>
      <c r="G10" s="14">
        <f>SUM(D10:F10)</f>
        <v>0</v>
      </c>
    </row>
    <row r="11" spans="1:7">
      <c r="D11" s="15"/>
      <c r="E11" s="15"/>
      <c r="F11" s="15"/>
      <c r="G11" s="15"/>
    </row>
    <row r="12" spans="1:7">
      <c r="B12" s="1" t="s">
        <v>16</v>
      </c>
      <c r="D12" s="14">
        <f>SUM(D13:D16)</f>
        <v>0</v>
      </c>
      <c r="E12" s="14">
        <f>SUM(E13:E16)</f>
        <v>0</v>
      </c>
      <c r="F12" s="14">
        <f>SUM(F13:F16)</f>
        <v>0</v>
      </c>
      <c r="G12" s="14">
        <f>SUM(D12:F12)</f>
        <v>0</v>
      </c>
    </row>
    <row r="13" spans="1:7">
      <c r="C13" t="s">
        <v>17</v>
      </c>
      <c r="D13" s="15"/>
      <c r="E13" s="15"/>
      <c r="F13" s="15"/>
      <c r="G13" s="15">
        <f>SUM(D13:F13)</f>
        <v>0</v>
      </c>
    </row>
    <row r="14" spans="1:7">
      <c r="C14" t="s">
        <v>18</v>
      </c>
      <c r="D14" s="15"/>
      <c r="E14" s="15"/>
      <c r="F14" s="15"/>
      <c r="G14" s="15">
        <f>SUM(D14:F14)</f>
        <v>0</v>
      </c>
    </row>
    <row r="15" spans="1:7">
      <c r="C15" t="s">
        <v>19</v>
      </c>
      <c r="D15" s="15"/>
      <c r="E15" s="15"/>
      <c r="F15" s="15"/>
      <c r="G15" s="15">
        <f>SUM(D15:F15)</f>
        <v>0</v>
      </c>
    </row>
    <row r="16" spans="1:7">
      <c r="C16" t="s">
        <v>20</v>
      </c>
      <c r="D16" s="15"/>
      <c r="E16" s="15"/>
      <c r="F16" s="15"/>
      <c r="G16" s="15">
        <f>SUM(D16:F16)</f>
        <v>0</v>
      </c>
    </row>
    <row r="17" spans="1:7">
      <c r="D17" s="15"/>
      <c r="E17" s="15"/>
      <c r="F17" s="15"/>
      <c r="G17" s="15"/>
    </row>
    <row r="18" spans="1:7">
      <c r="A18" s="10" t="s">
        <v>21</v>
      </c>
      <c r="B18" s="11"/>
      <c r="C18" s="11"/>
      <c r="D18" s="16">
        <f>SUM(D19:D20)</f>
        <v>0</v>
      </c>
      <c r="E18" s="16">
        <f>SUM(E19:E20)</f>
        <v>0</v>
      </c>
      <c r="F18" s="16">
        <f>SUM(F19:F20)</f>
        <v>0</v>
      </c>
      <c r="G18" s="16">
        <f>SUM(D18:F18)</f>
        <v>0</v>
      </c>
    </row>
    <row r="19" spans="1:7">
      <c r="B19" t="s">
        <v>22</v>
      </c>
      <c r="D19" s="15"/>
      <c r="E19" s="15"/>
      <c r="F19" s="15"/>
      <c r="G19" s="15">
        <f>SUM(D19:F19)</f>
        <v>0</v>
      </c>
    </row>
    <row r="20" spans="1:7">
      <c r="B20" t="s">
        <v>23</v>
      </c>
      <c r="D20" s="15"/>
      <c r="E20" s="15"/>
      <c r="F20" s="15"/>
      <c r="G20" s="15">
        <f>SUM(D20:F20)</f>
        <v>0</v>
      </c>
    </row>
    <row r="21" spans="1:7">
      <c r="D21" s="15"/>
      <c r="E21" s="15"/>
      <c r="F21" s="15"/>
      <c r="G21" s="15"/>
    </row>
    <row r="22" spans="1:7">
      <c r="A22" s="1" t="s">
        <v>24</v>
      </c>
      <c r="B22" s="1"/>
      <c r="D22" s="17">
        <f>SUM(D24,D33,D37,D41)</f>
        <v>3043</v>
      </c>
      <c r="E22" s="17">
        <f>SUM(E24,E33,E37,E41)</f>
        <v>120</v>
      </c>
      <c r="F22" s="17">
        <f>SUM(F24,F33,F37,F41)</f>
        <v>0</v>
      </c>
      <c r="G22" s="17">
        <f>SUM(D22:F22)</f>
        <v>3163</v>
      </c>
    </row>
    <row r="23" spans="1:7">
      <c r="D23" s="15"/>
      <c r="E23" s="15"/>
      <c r="F23" s="15"/>
      <c r="G23" s="15"/>
    </row>
    <row r="24" spans="1:7">
      <c r="A24" s="11"/>
      <c r="B24" s="10" t="s">
        <v>25</v>
      </c>
      <c r="C24" s="11"/>
      <c r="D24" s="16">
        <f>SUM(D25:D31)</f>
        <v>2720</v>
      </c>
      <c r="E24" s="16">
        <f>SUM(E25:E31)</f>
        <v>120</v>
      </c>
      <c r="F24" s="16">
        <f>SUM(F25:F31)</f>
        <v>0</v>
      </c>
      <c r="G24" s="16">
        <f>SUM(D24:F24)</f>
        <v>2840</v>
      </c>
    </row>
    <row r="25" spans="1:7">
      <c r="C25" t="s">
        <v>26</v>
      </c>
      <c r="D25" s="15">
        <v>240.0</v>
      </c>
      <c r="E25" s="15">
        <v>120.0</v>
      </c>
      <c r="F25" s="15">
        <v>0.0</v>
      </c>
      <c r="G25" s="15">
        <f>SUM(D25:F25)</f>
        <v>360</v>
      </c>
    </row>
    <row r="26" spans="1:7">
      <c r="C26" t="s">
        <v>27</v>
      </c>
      <c r="D26" s="15">
        <v>350.0</v>
      </c>
      <c r="E26" s="15">
        <v>0.0</v>
      </c>
      <c r="F26" s="15">
        <v>0.0</v>
      </c>
      <c r="G26" s="15">
        <f>SUM(D26:F26)</f>
        <v>350</v>
      </c>
    </row>
    <row r="27" spans="1:7">
      <c r="C27" t="s">
        <v>28</v>
      </c>
      <c r="D27" s="15">
        <v>1500.0</v>
      </c>
      <c r="E27" s="15">
        <v>0.0</v>
      </c>
      <c r="F27" s="15">
        <v>0.0</v>
      </c>
      <c r="G27" s="15">
        <f>SUM(D27:F27)</f>
        <v>1500</v>
      </c>
    </row>
    <row r="28" spans="1:7">
      <c r="C28" t="s">
        <v>29</v>
      </c>
      <c r="D28" s="15"/>
      <c r="E28" s="15"/>
      <c r="F28" s="15"/>
      <c r="G28" s="15">
        <f>SUM(D28:F28)</f>
        <v>0</v>
      </c>
    </row>
    <row r="29" spans="1:7">
      <c r="C29" t="s">
        <v>30</v>
      </c>
      <c r="D29" s="15"/>
      <c r="E29" s="15"/>
      <c r="F29" s="15"/>
      <c r="G29" s="15">
        <f>SUM(D29:F29)</f>
        <v>0</v>
      </c>
    </row>
    <row r="30" spans="1:7">
      <c r="C30" t="s">
        <v>31</v>
      </c>
      <c r="D30" s="15">
        <v>300.0</v>
      </c>
      <c r="E30" s="15">
        <v>0.0</v>
      </c>
      <c r="F30" s="15">
        <v>0.0</v>
      </c>
      <c r="G30" s="15">
        <f>SUM(D30:F30)</f>
        <v>300</v>
      </c>
    </row>
    <row r="31" spans="1:7">
      <c r="C31" t="s">
        <v>32</v>
      </c>
      <c r="D31" s="15">
        <v>330.0</v>
      </c>
      <c r="E31" s="15">
        <v>0.0</v>
      </c>
      <c r="F31" s="15">
        <v>0.0</v>
      </c>
      <c r="G31" s="15">
        <f>SUM(D31:F31)</f>
        <v>330</v>
      </c>
    </row>
    <row r="32" spans="1:7">
      <c r="D32" s="15"/>
      <c r="E32" s="15"/>
      <c r="F32" s="15"/>
      <c r="G32" s="15"/>
    </row>
    <row r="33" spans="1:7">
      <c r="A33" s="11"/>
      <c r="B33" s="10" t="s">
        <v>33</v>
      </c>
      <c r="C33" s="11"/>
      <c r="D33" s="16">
        <f>SUM(D34:D35)</f>
        <v>323</v>
      </c>
      <c r="E33" s="16">
        <f>SUM(E34:E35)</f>
        <v>0</v>
      </c>
      <c r="F33" s="16">
        <f>SUM(F34:F35)</f>
        <v>0</v>
      </c>
      <c r="G33" s="16">
        <f>SUM(D33:F33)</f>
        <v>323</v>
      </c>
    </row>
    <row r="34" spans="1:7">
      <c r="C34" t="s">
        <v>34</v>
      </c>
      <c r="D34" s="15">
        <v>123.0</v>
      </c>
      <c r="E34" s="15">
        <v>0.0</v>
      </c>
      <c r="F34" s="15">
        <v>0.0</v>
      </c>
      <c r="G34" s="15">
        <f>SUM(D34:F34)</f>
        <v>123</v>
      </c>
    </row>
    <row r="35" spans="1:7">
      <c r="C35" t="s">
        <v>35</v>
      </c>
      <c r="D35" s="15">
        <v>200.0</v>
      </c>
      <c r="E35" s="15">
        <v>0.0</v>
      </c>
      <c r="F35" s="15">
        <v>0.0</v>
      </c>
      <c r="G35" s="15">
        <f>SUM(D35:F35)</f>
        <v>200</v>
      </c>
    </row>
    <row r="36" spans="1:7">
      <c r="D36" s="15"/>
      <c r="E36" s="15"/>
      <c r="F36" s="15"/>
      <c r="G36" s="15"/>
    </row>
    <row r="37" spans="1:7">
      <c r="A37" s="11"/>
      <c r="B37" s="10" t="s">
        <v>36</v>
      </c>
      <c r="C37" s="11"/>
      <c r="D37" s="16">
        <f>SUM(D38:D39)</f>
        <v>0</v>
      </c>
      <c r="E37" s="16">
        <f>SUM(E38:E39)</f>
        <v>0</v>
      </c>
      <c r="F37" s="16">
        <f>SUM(F38:F39)</f>
        <v>0</v>
      </c>
      <c r="G37" s="16">
        <f>SUM(D37:F37)</f>
        <v>0</v>
      </c>
    </row>
    <row r="38" spans="1:7">
      <c r="C38" t="s">
        <v>37</v>
      </c>
      <c r="D38" s="15"/>
      <c r="E38" s="15"/>
      <c r="F38" s="15"/>
      <c r="G38" s="15">
        <f>SUM(D38:F38)</f>
        <v>0</v>
      </c>
    </row>
    <row r="39" spans="1:7">
      <c r="C39" t="s">
        <v>38</v>
      </c>
      <c r="D39" s="15"/>
      <c r="E39" s="15"/>
      <c r="F39" s="15"/>
      <c r="G39" s="15">
        <f>SUM(D39:F39)</f>
        <v>0</v>
      </c>
    </row>
    <row r="40" spans="1:7">
      <c r="D40" s="15"/>
      <c r="E40" s="15"/>
      <c r="F40" s="15"/>
      <c r="G40" s="15"/>
    </row>
    <row r="41" spans="1:7">
      <c r="A41" s="11"/>
      <c r="B41" s="11" t="s">
        <v>39</v>
      </c>
      <c r="C41" s="11"/>
      <c r="D41" s="16"/>
      <c r="E41" s="16"/>
      <c r="F41" s="16"/>
      <c r="G41" s="16">
        <f>SUM(D41:F41)</f>
        <v>0</v>
      </c>
    </row>
    <row r="42" spans="1:7">
      <c r="D42" s="15"/>
      <c r="E42" s="15"/>
      <c r="F42" s="15"/>
      <c r="G42" s="15"/>
    </row>
    <row r="43" spans="1:7">
      <c r="A43" s="10" t="s">
        <v>40</v>
      </c>
      <c r="B43" s="11"/>
      <c r="C43" s="11"/>
      <c r="D43" s="13">
        <f>SUM(D46,D48,D56,D57,D58,D60)</f>
        <v>10040</v>
      </c>
      <c r="E43" s="13">
        <f>SUM(E46,E48,E56,E57,E58,E60)</f>
        <v>0</v>
      </c>
      <c r="F43" s="13">
        <f>SUM(F46,F48,F56,F57,F58,F60)</f>
        <v>0</v>
      </c>
      <c r="G43" s="13">
        <f>SUM(D43:F43)</f>
        <v>10040</v>
      </c>
    </row>
    <row r="44" spans="1:7">
      <c r="D44" s="15"/>
      <c r="E44" s="15"/>
      <c r="F44" s="15"/>
      <c r="G44" s="15"/>
    </row>
    <row r="45" spans="1:7">
      <c r="B45" s="1" t="s">
        <v>41</v>
      </c>
      <c r="D45" s="15"/>
      <c r="E45" s="15"/>
      <c r="F45" s="15"/>
      <c r="G45" s="15"/>
    </row>
    <row r="46" spans="1:7">
      <c r="A46" s="11"/>
      <c r="B46" s="11"/>
      <c r="C46" s="11" t="s">
        <v>42</v>
      </c>
      <c r="D46" s="16">
        <v>50.0</v>
      </c>
      <c r="E46" s="16">
        <v>0.0</v>
      </c>
      <c r="F46" s="16">
        <v>0.0</v>
      </c>
      <c r="G46" s="16">
        <f>SUM(D46:F46)</f>
        <v>50</v>
      </c>
    </row>
    <row r="47" spans="1:7">
      <c r="D47" s="15"/>
      <c r="E47" s="15"/>
      <c r="F47" s="15"/>
      <c r="G47" s="15"/>
    </row>
    <row r="48" spans="1:7">
      <c r="A48" s="11"/>
      <c r="B48" s="10" t="s">
        <v>43</v>
      </c>
      <c r="C48" s="11"/>
      <c r="D48" s="16">
        <f>SUM(D49:D55)</f>
        <v>1555</v>
      </c>
      <c r="E48" s="16">
        <f>SUM(E49:E55)</f>
        <v>0</v>
      </c>
      <c r="F48" s="16">
        <f>SUM(F49:F55)</f>
        <v>0</v>
      </c>
      <c r="G48" s="16">
        <f>SUM(D48:F48)</f>
        <v>1555</v>
      </c>
    </row>
    <row r="49" spans="1:7">
      <c r="C49" t="s">
        <v>44</v>
      </c>
      <c r="D49" s="15">
        <v>200.0</v>
      </c>
      <c r="E49" s="15">
        <v>0.0</v>
      </c>
      <c r="F49" s="15">
        <v>0.0</v>
      </c>
      <c r="G49" s="15">
        <f>SUM(D49:F49)</f>
        <v>200</v>
      </c>
    </row>
    <row r="50" spans="1:7">
      <c r="C50" t="s">
        <v>45</v>
      </c>
      <c r="D50" s="15">
        <v>200.0</v>
      </c>
      <c r="E50" s="15">
        <v>0.0</v>
      </c>
      <c r="F50" s="15">
        <v>0.0</v>
      </c>
      <c r="G50" s="15">
        <f>SUM(D50:F50)</f>
        <v>200</v>
      </c>
    </row>
    <row r="51" spans="1:7">
      <c r="C51" t="s">
        <v>46</v>
      </c>
      <c r="D51" s="15">
        <v>300.0</v>
      </c>
      <c r="E51" s="15">
        <v>0.0</v>
      </c>
      <c r="F51" s="15">
        <v>0.0</v>
      </c>
      <c r="G51" s="15">
        <f>SUM(D51:F51)</f>
        <v>300</v>
      </c>
    </row>
    <row r="52" spans="1:7">
      <c r="C52" t="s">
        <v>47</v>
      </c>
      <c r="D52" s="15">
        <v>470.0</v>
      </c>
      <c r="E52" s="15">
        <v>0.0</v>
      </c>
      <c r="F52" s="15">
        <v>0.0</v>
      </c>
      <c r="G52" s="15">
        <f>SUM(D52:F52)</f>
        <v>470</v>
      </c>
    </row>
    <row r="53" spans="1:7">
      <c r="C53" t="s">
        <v>48</v>
      </c>
      <c r="D53" s="15">
        <v>285.0</v>
      </c>
      <c r="E53" s="15">
        <v>0.0</v>
      </c>
      <c r="F53" s="15">
        <v>0.0</v>
      </c>
      <c r="G53" s="15">
        <f>SUM(D53:F53)</f>
        <v>285</v>
      </c>
    </row>
    <row r="54" spans="1:7">
      <c r="C54" t="s">
        <v>49</v>
      </c>
      <c r="D54" s="15">
        <v>100.0</v>
      </c>
      <c r="E54" s="15">
        <v>0.0</v>
      </c>
      <c r="F54" s="15">
        <v>0.0</v>
      </c>
      <c r="G54" s="15">
        <f>SUM(D54:F54)</f>
        <v>100</v>
      </c>
    </row>
    <row r="55" spans="1:7">
      <c r="C55" t="s">
        <v>43</v>
      </c>
      <c r="D55" s="15">
        <v>0.0</v>
      </c>
      <c r="E55" s="15">
        <v>0.0</v>
      </c>
      <c r="F55" s="15">
        <v>0.0</v>
      </c>
      <c r="G55" s="15">
        <f>SUM(D55:F55)</f>
        <v>0</v>
      </c>
    </row>
    <row r="56" spans="1:7">
      <c r="A56" s="11"/>
      <c r="B56" s="11" t="s">
        <v>50</v>
      </c>
      <c r="C56" s="11"/>
      <c r="D56" s="16">
        <v>170.0</v>
      </c>
      <c r="E56" s="16">
        <v>0.0</v>
      </c>
      <c r="F56" s="16">
        <v>0.0</v>
      </c>
      <c r="G56" s="16">
        <f>SUM(D56:F56)</f>
        <v>170</v>
      </c>
    </row>
    <row r="57" spans="1:7">
      <c r="A57" s="11"/>
      <c r="B57" s="11" t="s">
        <v>51</v>
      </c>
      <c r="C57" s="11"/>
      <c r="D57" s="16"/>
      <c r="E57" s="16"/>
      <c r="F57" s="16"/>
      <c r="G57" s="16">
        <f>SUM(D57:F57)</f>
        <v>0</v>
      </c>
    </row>
    <row r="58" spans="1:7">
      <c r="A58" s="11"/>
      <c r="B58" s="11" t="s">
        <v>52</v>
      </c>
      <c r="C58" s="11"/>
      <c r="D58" s="16">
        <v>350.0</v>
      </c>
      <c r="E58" s="16">
        <v>0.0</v>
      </c>
      <c r="F58" s="16">
        <v>0.0</v>
      </c>
      <c r="G58" s="16">
        <f>SUM(D58:F58)</f>
        <v>350</v>
      </c>
    </row>
    <row r="59" spans="1:7">
      <c r="D59" s="18"/>
      <c r="E59" s="18"/>
      <c r="F59" s="15"/>
      <c r="G59" s="15"/>
    </row>
    <row r="60" spans="1:7">
      <c r="A60" s="11"/>
      <c r="B60" s="10" t="s">
        <v>53</v>
      </c>
      <c r="C60" s="11"/>
      <c r="D60" s="16">
        <f>SUM(D61:D70)</f>
        <v>7915</v>
      </c>
      <c r="E60" s="16">
        <f>SUM(E61:E70)</f>
        <v>0</v>
      </c>
      <c r="F60" s="16">
        <f>SUM(F61:F70)</f>
        <v>0</v>
      </c>
      <c r="G60" s="16">
        <f>SUM(D60:F60)</f>
        <v>7915</v>
      </c>
    </row>
    <row r="61" spans="1:7">
      <c r="C61" t="s">
        <v>54</v>
      </c>
      <c r="D61" s="15">
        <v>200.0</v>
      </c>
      <c r="E61" s="15">
        <v>0.0</v>
      </c>
      <c r="F61" s="15">
        <v>0.0</v>
      </c>
      <c r="G61" s="15">
        <f>SUM(D61:F61)</f>
        <v>200</v>
      </c>
    </row>
    <row r="62" spans="1:7">
      <c r="C62" t="s">
        <v>55</v>
      </c>
      <c r="D62" s="15"/>
      <c r="E62" s="15"/>
      <c r="F62" s="15"/>
      <c r="G62" s="15">
        <f>SUM(D62:F62)</f>
        <v>0</v>
      </c>
    </row>
    <row r="63" spans="1:7">
      <c r="C63" t="s">
        <v>56</v>
      </c>
      <c r="D63" s="15">
        <v>120.0</v>
      </c>
      <c r="E63" s="15">
        <v>0.0</v>
      </c>
      <c r="F63" s="15">
        <v>0.0</v>
      </c>
      <c r="G63" s="15">
        <f>SUM(D63:F63)</f>
        <v>120</v>
      </c>
    </row>
    <row r="64" spans="1:7">
      <c r="C64" t="s">
        <v>57</v>
      </c>
      <c r="D64" s="15"/>
      <c r="E64" s="15"/>
      <c r="F64" s="15"/>
      <c r="G64" s="15">
        <f>SUM(D64:F64)</f>
        <v>0</v>
      </c>
    </row>
    <row r="65" spans="1:7">
      <c r="C65" t="s">
        <v>58</v>
      </c>
      <c r="D65" s="15"/>
      <c r="E65" s="15"/>
      <c r="F65" s="15"/>
      <c r="G65" s="15">
        <f>SUM(D65:F65)</f>
        <v>0</v>
      </c>
    </row>
    <row r="66" spans="1:7">
      <c r="C66" t="s">
        <v>59</v>
      </c>
      <c r="D66" s="15">
        <v>95.0</v>
      </c>
      <c r="E66" s="15">
        <v>0.0</v>
      </c>
      <c r="F66" s="15">
        <v>0.0</v>
      </c>
      <c r="G66" s="15">
        <f>SUM(D66:F66)</f>
        <v>95</v>
      </c>
    </row>
    <row r="67" spans="1:7">
      <c r="C67" t="s">
        <v>60</v>
      </c>
      <c r="D67" s="15">
        <v>7500.0</v>
      </c>
      <c r="E67" s="15">
        <v>0.0</v>
      </c>
      <c r="F67" s="15">
        <v>0.0</v>
      </c>
      <c r="G67" s="15">
        <f>SUM(D67:F67)</f>
        <v>7500</v>
      </c>
    </row>
    <row r="68" spans="1:7">
      <c r="C68" t="s">
        <v>61</v>
      </c>
      <c r="D68" s="15"/>
      <c r="E68" s="15"/>
      <c r="F68" s="15"/>
      <c r="G68" s="15">
        <f>SUM(D68:F68)</f>
        <v>0</v>
      </c>
    </row>
    <row r="69" spans="1:7">
      <c r="C69" t="s">
        <v>62</v>
      </c>
      <c r="D69" s="15"/>
      <c r="E69" s="15"/>
      <c r="F69" s="15"/>
      <c r="G69" s="15">
        <f>SUM(D69:F69)</f>
        <v>0</v>
      </c>
    </row>
    <row r="70" spans="1:7">
      <c r="C70" t="s">
        <v>63</v>
      </c>
      <c r="D70" s="15"/>
      <c r="E70" s="15"/>
      <c r="F70" s="15"/>
      <c r="G70" s="15">
        <f>SUM(D70:F70)</f>
        <v>0</v>
      </c>
    </row>
    <row r="71" spans="1:7">
      <c r="D71" s="15"/>
      <c r="E71" s="15"/>
      <c r="F71" s="15"/>
      <c r="G71" s="15"/>
    </row>
    <row r="72" spans="1:7">
      <c r="A72" s="10" t="s">
        <v>64</v>
      </c>
      <c r="B72" s="10"/>
      <c r="C72" s="11"/>
      <c r="D72" s="13">
        <f>SUM(D73,D77,D81,D83)</f>
        <v>3000</v>
      </c>
      <c r="E72" s="13">
        <f>SUM(E73,E77,E81,E83)</f>
        <v>0</v>
      </c>
      <c r="F72" s="13">
        <f>SUM(F73,F77,F81,F83)</f>
        <v>0</v>
      </c>
      <c r="G72" s="13">
        <f>SUM(D72:F72)</f>
        <v>3000</v>
      </c>
    </row>
    <row r="73" spans="1:7">
      <c r="A73" s="11"/>
      <c r="B73" s="10" t="s">
        <v>65</v>
      </c>
      <c r="C73" s="11"/>
      <c r="D73" s="16">
        <f>SUM(D74:D75)</f>
        <v>3000</v>
      </c>
      <c r="E73" s="16">
        <f>SUM(E74:E75)</f>
        <v>0</v>
      </c>
      <c r="F73" s="16">
        <f>SUM(F74:F75)</f>
        <v>0</v>
      </c>
      <c r="G73" s="16">
        <f>SUM(D73:F73)</f>
        <v>3000</v>
      </c>
    </row>
    <row r="74" spans="1:7">
      <c r="C74" t="s">
        <v>66</v>
      </c>
      <c r="D74" s="15">
        <v>3000.0</v>
      </c>
      <c r="E74" s="15">
        <v>0.0</v>
      </c>
      <c r="F74" s="15">
        <v>0.0</v>
      </c>
      <c r="G74" s="15">
        <f>SUM(D74:F74)</f>
        <v>3000</v>
      </c>
    </row>
    <row r="75" spans="1:7">
      <c r="C75" t="s">
        <v>67</v>
      </c>
      <c r="D75" s="15"/>
      <c r="E75" s="15"/>
      <c r="F75" s="15"/>
      <c r="G75" s="15">
        <f>SUM(D75:F75)</f>
        <v>0</v>
      </c>
    </row>
    <row r="76" spans="1:7">
      <c r="D76" s="15"/>
      <c r="E76" s="15"/>
      <c r="F76" s="15"/>
      <c r="G76" s="15"/>
    </row>
    <row r="77" spans="1:7">
      <c r="A77" s="11"/>
      <c r="B77" s="10" t="s">
        <v>68</v>
      </c>
      <c r="C77" s="11"/>
      <c r="D77" s="16">
        <f>SUM(D78:D79)</f>
        <v>0</v>
      </c>
      <c r="E77" s="16">
        <f>SUM(E78:E79)</f>
        <v>0</v>
      </c>
      <c r="F77" s="16">
        <f>SUM(F78:F79)</f>
        <v>0</v>
      </c>
      <c r="G77" s="16">
        <f>SUM(D77:F77)</f>
        <v>0</v>
      </c>
    </row>
    <row r="78" spans="1:7">
      <c r="C78" t="s">
        <v>69</v>
      </c>
      <c r="D78" s="15"/>
      <c r="E78" s="15"/>
      <c r="F78" s="15"/>
      <c r="G78" s="15">
        <f>SUM(D78:F78)</f>
        <v>0</v>
      </c>
    </row>
    <row r="79" spans="1:7">
      <c r="C79" t="s">
        <v>70</v>
      </c>
      <c r="D79" s="15"/>
      <c r="E79" s="15"/>
      <c r="F79" s="15"/>
      <c r="G79" s="15">
        <f>SUM(D79:F79)</f>
        <v>0</v>
      </c>
    </row>
    <row r="80" spans="1:7">
      <c r="D80" s="15"/>
      <c r="E80" s="15"/>
      <c r="F80" s="15"/>
      <c r="G80" s="15"/>
    </row>
    <row r="81" spans="1:7">
      <c r="A81" s="11"/>
      <c r="B81" s="10" t="s">
        <v>71</v>
      </c>
      <c r="C81" s="11"/>
      <c r="D81" s="16"/>
      <c r="E81" s="16"/>
      <c r="F81" s="16"/>
      <c r="G81" s="16">
        <f>SUM(D81:F81)</f>
        <v>0</v>
      </c>
    </row>
    <row r="82" spans="1:7">
      <c r="D82" s="15"/>
      <c r="E82" s="15"/>
      <c r="F82" s="15"/>
      <c r="G82" s="15"/>
    </row>
    <row r="83" spans="1:7">
      <c r="A83" s="11"/>
      <c r="B83" s="10" t="s">
        <v>72</v>
      </c>
      <c r="C83" s="11"/>
      <c r="D83" s="16">
        <f>SUM(D84:D85)</f>
        <v>0</v>
      </c>
      <c r="E83" s="16">
        <f>SUM(E84:E85)</f>
        <v>0</v>
      </c>
      <c r="F83" s="16">
        <f>SUM(F84:F85)</f>
        <v>0</v>
      </c>
      <c r="G83" s="16">
        <f>SUM(D83:F83)</f>
        <v>0</v>
      </c>
    </row>
    <row r="84" spans="1:7">
      <c r="C84" t="s">
        <v>73</v>
      </c>
      <c r="D84" s="15"/>
      <c r="E84" s="15"/>
      <c r="F84" s="15"/>
      <c r="G84" s="15">
        <f>SUM(D84:F84)</f>
        <v>0</v>
      </c>
    </row>
    <row r="85" spans="1:7">
      <c r="C85" t="s">
        <v>74</v>
      </c>
      <c r="D85" s="15"/>
      <c r="E85" s="15"/>
      <c r="F85" s="15"/>
      <c r="G85" s="15">
        <f>SUM(D85:F85)</f>
        <v>0</v>
      </c>
    </row>
    <row r="86" spans="1:7">
      <c r="D86" s="15"/>
      <c r="E86" s="15"/>
      <c r="F86" s="15"/>
      <c r="G86" s="15"/>
    </row>
    <row r="87" spans="1:7">
      <c r="A87" s="10" t="s">
        <v>75</v>
      </c>
      <c r="B87" s="11"/>
      <c r="C87" s="11"/>
      <c r="D87" s="19">
        <f>SUM(D72,D43,D22,D9)</f>
        <v>16083</v>
      </c>
      <c r="E87" s="19">
        <f>SUM(E72,E43,E22,E9)</f>
        <v>120</v>
      </c>
      <c r="F87" s="19">
        <f>SUM(F72,F43,F22,F9)</f>
        <v>0</v>
      </c>
      <c r="G87" s="19">
        <f>SUM(D87:F87)</f>
        <v>16203</v>
      </c>
    </row>
    <row r="88" spans="1:7">
      <c r="D88" s="15"/>
      <c r="E88" s="15"/>
      <c r="F88" s="15"/>
      <c r="G88" s="15"/>
    </row>
    <row r="89" spans="1:7">
      <c r="A89" s="1" t="s">
        <v>76</v>
      </c>
      <c r="D89" s="15"/>
      <c r="E89" s="15"/>
      <c r="F89" s="15"/>
      <c r="G89" s="15"/>
    </row>
    <row r="90" spans="1:7">
      <c r="A90" s="11"/>
      <c r="B90" s="11" t="s">
        <v>77</v>
      </c>
      <c r="C90" s="11"/>
      <c r="D90" s="19"/>
      <c r="E90" s="19"/>
      <c r="F90" s="19"/>
      <c r="G90" s="19">
        <f>SUM(D90:F90)</f>
        <v>0</v>
      </c>
    </row>
    <row r="91" spans="1:7">
      <c r="D91" s="15"/>
      <c r="E91" s="15"/>
      <c r="F91" s="15"/>
      <c r="G91" s="15"/>
    </row>
    <row r="92" spans="1:7">
      <c r="A92" s="11"/>
      <c r="B92" s="11"/>
      <c r="C92" s="12" t="s">
        <v>78</v>
      </c>
      <c r="D92" s="20">
        <f>D87+D90</f>
        <v>16083</v>
      </c>
      <c r="E92" s="20">
        <f>E87+E90</f>
        <v>120</v>
      </c>
      <c r="F92" s="20">
        <f>F87+F90</f>
        <v>0</v>
      </c>
      <c r="G92" s="20">
        <f>IF(SUM(D92:F92)=SUM(G87,G90),G87+G90,"INCORRECT")</f>
        <v>16203</v>
      </c>
    </row>
    <row r="93" spans="1:7">
      <c r="D93" s="18"/>
      <c r="E93" s="18"/>
      <c r="F93" s="18"/>
      <c r="G93" s="18"/>
    </row>
    <row r="94" spans="1:7">
      <c r="D94" s="18"/>
      <c r="E94" s="18"/>
      <c r="F94" s="18"/>
      <c r="G94" s="18"/>
    </row>
    <row r="95" spans="1:7">
      <c r="D95" s="21" t="s">
        <v>9</v>
      </c>
      <c r="E95" s="18"/>
      <c r="F95" s="18"/>
      <c r="G95" s="18"/>
    </row>
    <row r="96" spans="1:7">
      <c r="D96" s="18"/>
      <c r="E96" s="18"/>
      <c r="F96" s="18"/>
      <c r="G96" s="18"/>
    </row>
    <row r="97" spans="1:7">
      <c r="D97" s="18"/>
      <c r="E97" s="18"/>
      <c r="F97" s="18"/>
      <c r="G97" s="18"/>
    </row>
    <row r="98" spans="1:7">
      <c r="C98" s="3" t="s">
        <v>10</v>
      </c>
      <c r="D98" s="18"/>
      <c r="E98" s="23" t="s">
        <v>11</v>
      </c>
      <c r="F98" s="18"/>
      <c r="G98" s="18"/>
    </row>
    <row r="99" spans="1:7">
      <c r="C99" s="4" t="s">
        <v>12</v>
      </c>
      <c r="D99" s="18"/>
      <c r="E99" s="21" t="s">
        <v>13</v>
      </c>
      <c r="F99" s="18"/>
      <c r="G99" s="18"/>
    </row>
    <row r="100" spans="1:7">
      <c r="D100" s="22"/>
      <c r="E100" s="22"/>
      <c r="F100" s="22"/>
      <c r="G100" s="22"/>
    </row>
  </sheetData>
  <mergeCells>
    <mergeCell ref="A1:G1"/>
    <mergeCell ref="A2:G2"/>
    <mergeCell ref="A3:G3"/>
    <mergeCell ref="A5:G5"/>
    <mergeCell ref="A7:C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Municipality of Santa Maria</dc:creator>
  <cp:lastModifiedBy>Unknown Creator</cp:lastModifiedBy>
  <dcterms:created xsi:type="dcterms:W3CDTF">2025-08-07T12:13:56+02:00</dcterms:created>
  <dcterms:modified xsi:type="dcterms:W3CDTF">2025-08-07T12:13:56+02:00</dcterms:modified>
  <dc:title>Quarterly Report of Revenue and Receipts</dc:title>
  <dc:description>Quarterly report for Q3 2025</dc:description>
  <dc:subject/>
  <cp:keywords/>
  <cp:category/>
</cp:coreProperties>
</file>