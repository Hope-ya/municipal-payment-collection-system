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<sst xmlns="http://schemas.openxmlformats.org/spreadsheetml/2006/main" uniqueCount="77">
  <si>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Republic of the Philippines</t>
  </si>
  <si>
    <t>Province of Laguna</t>
  </si>
  <si>
    <t>Municipality of Santa Maria</t>
  </si>
  <si>
    <t>MONTHLY REPORT OF REVENUE AND RECEIPTS</t>
  </si>
  <si>
    <t>REVENUE SOURCES</t>
  </si>
  <si>
    <t>ACCOUNT CODE</t>
  </si>
  <si>
    <t>AUGUST</t>
  </si>
  <si>
    <t>Certified Correct by:</t>
  </si>
  <si>
    <t>Lorena L. De Torres</t>
  </si>
  <si>
    <t>Jazmin Dorado</t>
  </si>
  <si>
    <t>Encoder</t>
  </si>
  <si>
    <t>Municipal Treasurer</t>
  </si>
  <si>
    <t>TAX ON BUSINESS</t>
  </si>
  <si>
    <t>Amusement Tax ( Provincial Account)</t>
  </si>
  <si>
    <t>Business Taxes</t>
  </si>
  <si>
    <t>Retailers</t>
  </si>
  <si>
    <t>Contractors</t>
  </si>
  <si>
    <t>Banks &amp; Other Financial Institutions</t>
  </si>
  <si>
    <t>Interest / Surcharge</t>
  </si>
  <si>
    <t>OTHER TAXES:</t>
  </si>
  <si>
    <t>Community Tax - Corporation</t>
  </si>
  <si>
    <t>Community Tax - Individual</t>
  </si>
  <si>
    <t>REGULATORY FEES (PERMITS &amp; LICENSES )</t>
  </si>
  <si>
    <t>Permits and Licenses</t>
  </si>
  <si>
    <t>Fees on weights &amp; measures</t>
  </si>
  <si>
    <t>Franchising &amp; licensing Fees</t>
  </si>
  <si>
    <t>Permit Fees/ Mayor's Permit Fees</t>
  </si>
  <si>
    <t>Building Permit Fees</t>
  </si>
  <si>
    <t>Zonal/Location Permit Fees</t>
  </si>
  <si>
    <t>Burial Permit Fees</t>
  </si>
  <si>
    <t>Sanitary Permit Fees</t>
  </si>
  <si>
    <t>Other Permits &amp; Licenses:</t>
  </si>
  <si>
    <t>Marriage License</t>
  </si>
  <si>
    <t>Application for Marriage</t>
  </si>
  <si>
    <t>Registration Fees:</t>
  </si>
  <si>
    <t>Cattle/Animal Registration fees</t>
  </si>
  <si>
    <t>Birth Certificate (New Born) Fees</t>
  </si>
  <si>
    <t>Inspection Fees</t>
  </si>
  <si>
    <t>SERVICE/ USER CHARGES ( Service Income)</t>
  </si>
  <si>
    <t>Clearance and Certification Fees</t>
  </si>
  <si>
    <t>Police Clearance</t>
  </si>
  <si>
    <t>Secretary's Fees</t>
  </si>
  <si>
    <t>Death Certificate</t>
  </si>
  <si>
    <t>Birth Certificate</t>
  </si>
  <si>
    <t>Marriage Certificate</t>
  </si>
  <si>
    <t>Assessor's Certificate</t>
  </si>
  <si>
    <t>MTO certificate</t>
  </si>
  <si>
    <t>Health Certificate ( Medical)</t>
  </si>
  <si>
    <t>Other Clearance &amp; Cert./Mayor's Clearance</t>
  </si>
  <si>
    <t>Garbage Fees</t>
  </si>
  <si>
    <t>Medical, Dental &amp; Laboratory Fees</t>
  </si>
  <si>
    <t>Other Service Income</t>
  </si>
  <si>
    <t>Solemnization Fees</t>
  </si>
  <si>
    <t>Electrical Fees</t>
  </si>
  <si>
    <t>Annotation Fees</t>
  </si>
  <si>
    <t>STL</t>
  </si>
  <si>
    <t>Backfilling/Hauling</t>
  </si>
  <si>
    <t>Miscellaneous Fees</t>
  </si>
  <si>
    <t>RA 9048, 10172 &amp; 9255</t>
  </si>
  <si>
    <t>BREQS</t>
  </si>
  <si>
    <t>Interest Income</t>
  </si>
  <si>
    <t>Marilag Ecopark</t>
  </si>
  <si>
    <t>RECEIPTS FROM ECONOMIC ENTERPRISES ( BUSINESS INCOME)</t>
  </si>
  <si>
    <t>Cemetery Operations:</t>
  </si>
  <si>
    <t>Cemeteries</t>
  </si>
  <si>
    <t>Municipal Lot</t>
  </si>
  <si>
    <t>Market Operations:</t>
  </si>
  <si>
    <t>Stall Goodwill</t>
  </si>
  <si>
    <t>Stall Rentals</t>
  </si>
  <si>
    <t>Slaugther House Operations:</t>
  </si>
  <si>
    <t>Water Works System Operations</t>
  </si>
  <si>
    <t>Registration</t>
  </si>
  <si>
    <t>Monthly dues</t>
  </si>
  <si>
    <t>LOCAL SOURCES</t>
  </si>
  <si>
    <t>OTHER INCOME/RECEIPTS ( OTHER GENERAL INCOME)</t>
  </si>
  <si>
    <t>IRA</t>
  </si>
  <si>
    <t>GRAND TOTAL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</si>
</sst>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singl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00B050"/>
      <name val="Calibri"/>
    </font>
    <font>
      <b val="1"/>
      <i val="0"/>
      <strike val="0"/>
      <u val="none"/>
      <sz val="11"/>
      <color rgb="FF0070C0"/>
      <name val="Calibri"/>
    </font>
    <font>
      <b val="1"/>
      <i val="0"/>
      <strike val="0"/>
      <u val="none"/>
      <sz val="11"/>
      <color rgb="FF7030A0"/>
      <name val="Calibri"/>
    </font>
    <font>
      <b val="1"/>
      <i val="0"/>
      <strike val="0"/>
      <u val="none"/>
      <sz val="11"/>
      <color rgb="FF833C0B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5" numFmtId="0" fillId="0" borderId="3" applyFont="1" applyNumberFormat="0" applyFill="0" applyBorder="1" applyAlignment="0"/>
    <xf xfId="0" fontId="0" numFmtId="4" fillId="0" borderId="4" applyFont="0" applyNumberFormat="1" applyFill="0" applyBorder="1" applyAlignment="1">
      <alignment horizontal="center" vertical="bottom" textRotation="0" wrapText="false" shrinkToFit="false"/>
    </xf>
    <xf xfId="0" fontId="5" numFmtId="4" fillId="0" borderId="3" applyFont="1" applyNumberFormat="1" applyFill="0" applyBorder="1" applyAlignment="1">
      <alignment horizontal="center" vertical="bottom" textRotation="0" wrapText="false" shrinkToFit="false"/>
    </xf>
    <xf xfId="0" fontId="6" numFmtId="4" fillId="0" borderId="4" applyFont="1" applyNumberFormat="1" applyFill="0" applyBorder="1" applyAlignment="1">
      <alignment horizontal="center" vertical="bottom" textRotation="0" wrapText="false" shrinkToFit="false"/>
    </xf>
    <xf xfId="0" fontId="6" numFmtId="4" fillId="0" borderId="3" applyFont="1" applyNumberFormat="1" applyFill="0" applyBorder="1" applyAlignment="1">
      <alignment horizontal="center" vertical="bottom" textRotation="0" wrapText="false" shrinkToFit="false"/>
    </xf>
    <xf xfId="0" fontId="5" numFmtId="4" fillId="0" borderId="4" applyFont="1" applyNumberFormat="1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1">
      <alignment horizontal="center" vertical="bottom" textRotation="0" wrapText="false" shrinkToFit="false"/>
    </xf>
    <xf xfId="0" fontId="7" numFmtId="4" fillId="0" borderId="3" applyFont="1" applyNumberFormat="1" applyFill="0" applyBorder="1" applyAlignment="1">
      <alignment horizontal="center" vertical="bottom" textRotation="0" wrapText="false" shrinkToFit="false"/>
    </xf>
    <xf xfId="0" fontId="8" numFmtId="4" fillId="0" borderId="3" applyFont="1" applyNumberFormat="1" applyFill="0" applyBorder="1" applyAlignment="1">
      <alignment horizontal="center" vertical="bottom" textRotation="0" wrapText="false" shrinkToFit="false"/>
    </xf>
    <xf xfId="0" fontId="3" numFmtId="4" fillId="0" borderId="0" applyFont="1" applyNumberFormat="1" applyFill="0" applyBorder="0" applyAlignment="1">
      <alignment horizontal="center" vertical="bottom" textRotation="0" wrapText="false" shrinkToFit="false"/>
    </xf>
    <xf xfId="0" fontId="4" numFmtId="4" fillId="0" borderId="0" applyFont="1" applyNumberFormat="1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0"/>
  <sheetViews>
    <sheetView tabSelected="1" workbookViewId="0" showGridLines="true" showRowColHeaders="1">
      <selection activeCell="E8" sqref="E8:E100"/>
    </sheetView>
  </sheetViews>
  <sheetFormatPr defaultRowHeight="14.4" outlineLevelRow="0" outlineLevelCol="0"/>
  <cols>
    <col min="1" max="1" width="7" customWidth="true" style="0"/>
    <col min="2" max="2" width="7" customWidth="true" style="0"/>
    <col min="3" max="3" width="45" customWidth="true" style="0"/>
    <col min="4" max="4" width="15" customWidth="true" style="0"/>
    <col min="5" max="5" width="15" customWidth="true" style="0"/>
    <col min="6" max="6" width="30" customWidth="true" style="0"/>
  </cols>
  <sheetData>
    <row r="1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2" t="s">
        <v>2</v>
      </c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" t="s">
        <v>3</v>
      </c>
      <c r="B5" s="2"/>
      <c r="C5" s="2"/>
      <c r="D5" s="2"/>
      <c r="E5" s="2"/>
      <c r="F5" s="2"/>
      <c r="G5" s="2"/>
      <c r="H5" s="2"/>
    </row>
    <row r="7" spans="1:8" customHeight="1" ht="30">
      <c r="A7" s="9" t="s">
        <v>4</v>
      </c>
      <c r="B7" s="9"/>
      <c r="C7" s="9"/>
      <c r="D7" s="9" t="s">
        <v>5</v>
      </c>
      <c r="E7" s="9" t="s">
        <v>6</v>
      </c>
    </row>
    <row r="8" spans="1:8">
      <c r="A8" s="8"/>
      <c r="B8" s="6"/>
      <c r="C8" s="6"/>
      <c r="D8" s="7"/>
      <c r="E8" s="14"/>
    </row>
    <row r="9" spans="1:8">
      <c r="A9" s="10" t="s">
        <v>12</v>
      </c>
      <c r="B9" s="11"/>
      <c r="C9" s="11"/>
      <c r="D9" s="12"/>
      <c r="E9" s="15">
        <f>SUM(E10,E12,E18)</f>
        <v>0</v>
      </c>
    </row>
    <row r="10" spans="1:8">
      <c r="A10" s="1"/>
      <c r="B10" t="s">
        <v>13</v>
      </c>
      <c r="D10" s="7">
        <v>581</v>
      </c>
      <c r="E10" s="16"/>
    </row>
    <row r="11" spans="1:8">
      <c r="A11" s="1"/>
      <c r="D11" s="7"/>
      <c r="E11" s="14"/>
    </row>
    <row r="12" spans="1:8">
      <c r="A12" s="1"/>
      <c r="B12" s="1" t="s">
        <v>14</v>
      </c>
      <c r="D12" s="7"/>
      <c r="E12" s="16">
        <f>SUM(E13:E16)</f>
        <v>0</v>
      </c>
    </row>
    <row r="13" spans="1:8">
      <c r="A13" s="1"/>
      <c r="C13" t="s">
        <v>15</v>
      </c>
      <c r="D13" s="7">
        <v>582</v>
      </c>
      <c r="E13" s="14"/>
    </row>
    <row r="14" spans="1:8">
      <c r="A14" s="1"/>
      <c r="C14" t="s">
        <v>16</v>
      </c>
      <c r="D14" s="7">
        <v>582</v>
      </c>
      <c r="E14" s="14"/>
    </row>
    <row r="15" spans="1:8">
      <c r="A15" s="1"/>
      <c r="C15" t="s">
        <v>17</v>
      </c>
      <c r="D15" s="7">
        <v>582</v>
      </c>
      <c r="E15" s="14"/>
    </row>
    <row r="16" spans="1:8">
      <c r="A16" s="1"/>
      <c r="C16" t="s">
        <v>18</v>
      </c>
      <c r="D16" s="7">
        <v>582</v>
      </c>
      <c r="E16" s="14"/>
    </row>
    <row r="17" spans="1:8">
      <c r="A17" s="1"/>
      <c r="D17" s="7"/>
      <c r="E17" s="14"/>
    </row>
    <row r="18" spans="1:8">
      <c r="A18" s="10" t="s">
        <v>19</v>
      </c>
      <c r="B18" s="11"/>
      <c r="C18" s="11"/>
      <c r="D18" s="12"/>
      <c r="E18" s="17">
        <f>SUM(E19:E20)</f>
        <v>0</v>
      </c>
    </row>
    <row r="19" spans="1:8">
      <c r="A19" s="1"/>
      <c r="B19" t="s">
        <v>20</v>
      </c>
      <c r="D19" s="7"/>
      <c r="E19" s="14"/>
    </row>
    <row r="20" spans="1:8">
      <c r="A20" s="1"/>
      <c r="B20" t="s">
        <v>21</v>
      </c>
      <c r="D20" s="7">
        <v>583</v>
      </c>
      <c r="E20" s="14"/>
    </row>
    <row r="21" spans="1:8">
      <c r="A21" s="1"/>
      <c r="D21" s="7"/>
      <c r="E21" s="14"/>
    </row>
    <row r="22" spans="1:8">
      <c r="A22" s="1" t="s">
        <v>22</v>
      </c>
      <c r="D22" s="7"/>
      <c r="E22" s="18">
        <f>SUM(E24,E33,E37,E41)</f>
        <v>12894</v>
      </c>
    </row>
    <row r="23" spans="1:8">
      <c r="A23" s="1"/>
      <c r="D23" s="7"/>
      <c r="E23" s="14"/>
    </row>
    <row r="24" spans="1:8">
      <c r="A24" s="10"/>
      <c r="B24" s="11" t="s">
        <v>23</v>
      </c>
      <c r="C24" s="11"/>
      <c r="D24" s="12"/>
      <c r="E24" s="17">
        <f>SUM(E25:E31)</f>
        <v>11894</v>
      </c>
    </row>
    <row r="25" spans="1:8">
      <c r="A25" s="1"/>
      <c r="C25" t="s">
        <v>24</v>
      </c>
      <c r="D25" s="7">
        <v>601</v>
      </c>
      <c r="E25" s="14">
        <v>240.0</v>
      </c>
    </row>
    <row r="26" spans="1:8">
      <c r="A26" s="1"/>
      <c r="C26" t="s">
        <v>25</v>
      </c>
      <c r="D26" s="7">
        <v>603</v>
      </c>
      <c r="E26" s="14"/>
    </row>
    <row r="27" spans="1:8">
      <c r="A27" s="1"/>
      <c r="C27" t="s">
        <v>26</v>
      </c>
      <c r="D27" s="7">
        <v>605</v>
      </c>
      <c r="E27" s="14"/>
    </row>
    <row r="28" spans="1:8">
      <c r="A28" s="1"/>
      <c r="C28" t="s">
        <v>27</v>
      </c>
      <c r="D28" s="7">
        <v>605</v>
      </c>
      <c r="E28" s="14">
        <v>10420.0</v>
      </c>
    </row>
    <row r="29" spans="1:8">
      <c r="A29" s="1"/>
      <c r="C29" t="s">
        <v>28</v>
      </c>
      <c r="D29" s="7">
        <v>628</v>
      </c>
      <c r="E29" s="14">
        <v>1234.0</v>
      </c>
    </row>
    <row r="30" spans="1:8">
      <c r="A30" s="1"/>
      <c r="C30" t="s">
        <v>29</v>
      </c>
      <c r="D30" s="7">
        <v>605</v>
      </c>
      <c r="E30" s="14"/>
    </row>
    <row r="31" spans="1:8">
      <c r="A31" s="1"/>
      <c r="C31" t="s">
        <v>30</v>
      </c>
      <c r="D31" s="7">
        <v>619</v>
      </c>
      <c r="E31" s="14"/>
    </row>
    <row r="32" spans="1:8">
      <c r="A32" s="1"/>
      <c r="D32" s="7"/>
      <c r="E32" s="14"/>
    </row>
    <row r="33" spans="1:8">
      <c r="A33" s="10"/>
      <c r="B33" s="10" t="s">
        <v>31</v>
      </c>
      <c r="C33" s="11"/>
      <c r="D33" s="12"/>
      <c r="E33" s="17">
        <f>SUM(E34:E35)</f>
        <v>0</v>
      </c>
    </row>
    <row r="34" spans="1:8">
      <c r="A34" s="1"/>
      <c r="C34" t="s">
        <v>32</v>
      </c>
      <c r="D34" s="7">
        <v>608</v>
      </c>
      <c r="E34" s="14"/>
    </row>
    <row r="35" spans="1:8">
      <c r="A35" s="1"/>
      <c r="C35" t="s">
        <v>33</v>
      </c>
      <c r="D35" s="7">
        <v>608</v>
      </c>
      <c r="E35" s="14"/>
    </row>
    <row r="36" spans="1:8">
      <c r="A36" s="1"/>
      <c r="D36" s="7"/>
      <c r="E36" s="14"/>
    </row>
    <row r="37" spans="1:8">
      <c r="A37" s="10"/>
      <c r="B37" s="10" t="s">
        <v>34</v>
      </c>
      <c r="C37" s="11"/>
      <c r="D37" s="12"/>
      <c r="E37" s="17">
        <f>SUM(E38:E39)</f>
        <v>0</v>
      </c>
    </row>
    <row r="38" spans="1:8">
      <c r="A38" s="1"/>
      <c r="C38" t="s">
        <v>35</v>
      </c>
      <c r="D38" s="7">
        <v>606</v>
      </c>
      <c r="E38" s="14"/>
    </row>
    <row r="39" spans="1:8">
      <c r="A39" s="1"/>
      <c r="C39" t="s">
        <v>36</v>
      </c>
      <c r="D39" s="7">
        <v>606</v>
      </c>
      <c r="E39" s="14"/>
    </row>
    <row r="40" spans="1:8">
      <c r="A40" s="1"/>
      <c r="D40" s="7"/>
      <c r="E40" s="14"/>
    </row>
    <row r="41" spans="1:8">
      <c r="A41" s="10"/>
      <c r="B41" s="11" t="s">
        <v>37</v>
      </c>
      <c r="C41" s="11"/>
      <c r="D41" s="12">
        <v>617</v>
      </c>
      <c r="E41" s="17">
        <v>1000.0</v>
      </c>
    </row>
    <row r="42" spans="1:8">
      <c r="A42" s="1"/>
      <c r="D42" s="7"/>
      <c r="E42" s="14"/>
    </row>
    <row r="43" spans="1:8">
      <c r="A43" s="10" t="s">
        <v>38</v>
      </c>
      <c r="B43" s="11"/>
      <c r="C43" s="11"/>
      <c r="D43" s="12"/>
      <c r="E43" s="15">
        <f>SUM(E46,E48,E56,E57,E58,E60)</f>
        <v>14292</v>
      </c>
    </row>
    <row r="44" spans="1:8">
      <c r="A44" s="1"/>
      <c r="D44" s="7"/>
      <c r="E44" s="14"/>
    </row>
    <row r="45" spans="1:8">
      <c r="A45" s="1"/>
      <c r="B45" s="1" t="s">
        <v>39</v>
      </c>
      <c r="D45" s="7"/>
      <c r="E45" s="14"/>
    </row>
    <row r="46" spans="1:8">
      <c r="A46" s="10"/>
      <c r="B46" s="11"/>
      <c r="C46" s="11" t="s">
        <v>40</v>
      </c>
      <c r="D46" s="12">
        <v>613</v>
      </c>
      <c r="E46" s="17"/>
    </row>
    <row r="47" spans="1:8">
      <c r="A47" s="1"/>
      <c r="D47" s="7"/>
      <c r="E47" s="14"/>
    </row>
    <row r="48" spans="1:8">
      <c r="A48" s="10"/>
      <c r="B48" s="10" t="s">
        <v>41</v>
      </c>
      <c r="C48" s="11"/>
      <c r="D48" s="12"/>
      <c r="E48" s="17">
        <f>SUM(E49:E55)</f>
        <v>470</v>
      </c>
    </row>
    <row r="49" spans="1:8">
      <c r="A49" s="1"/>
      <c r="C49" t="s">
        <v>42</v>
      </c>
      <c r="D49" s="7">
        <v>613</v>
      </c>
      <c r="E49" s="14"/>
    </row>
    <row r="50" spans="1:8">
      <c r="A50" s="1"/>
      <c r="C50" t="s">
        <v>43</v>
      </c>
      <c r="D50" s="7">
        <v>613</v>
      </c>
      <c r="E50" s="14">
        <v>100.0</v>
      </c>
    </row>
    <row r="51" spans="1:8">
      <c r="A51" s="1"/>
      <c r="C51" t="s">
        <v>44</v>
      </c>
      <c r="D51" s="7">
        <v>613</v>
      </c>
      <c r="E51" s="14">
        <v>200.0</v>
      </c>
    </row>
    <row r="52" spans="1:8">
      <c r="A52" s="1"/>
      <c r="C52" t="s">
        <v>45</v>
      </c>
      <c r="D52" s="7">
        <v>613</v>
      </c>
      <c r="E52" s="14">
        <v>60.0</v>
      </c>
    </row>
    <row r="53" spans="1:8">
      <c r="A53" s="1"/>
      <c r="C53" t="s">
        <v>46</v>
      </c>
      <c r="D53" s="7">
        <v>613</v>
      </c>
      <c r="E53" s="14">
        <v>110.0</v>
      </c>
    </row>
    <row r="54" spans="1:8">
      <c r="A54" s="1"/>
      <c r="C54" t="s">
        <v>47</v>
      </c>
      <c r="D54" s="7">
        <v>613</v>
      </c>
      <c r="E54" s="14"/>
    </row>
    <row r="55" spans="1:8">
      <c r="A55" s="1"/>
      <c r="C55" t="s">
        <v>41</v>
      </c>
      <c r="D55" s="7">
        <v>608</v>
      </c>
      <c r="E55" s="14"/>
    </row>
    <row r="56" spans="1:8">
      <c r="A56" s="10"/>
      <c r="B56" s="11" t="s">
        <v>48</v>
      </c>
      <c r="C56" s="11"/>
      <c r="D56" s="12">
        <v>613</v>
      </c>
      <c r="E56" s="17"/>
    </row>
    <row r="57" spans="1:8">
      <c r="A57" s="10"/>
      <c r="B57" s="11" t="s">
        <v>49</v>
      </c>
      <c r="C57" s="11"/>
      <c r="D57" s="12">
        <v>616</v>
      </c>
      <c r="E57" s="17"/>
    </row>
    <row r="58" spans="1:8">
      <c r="A58" s="10"/>
      <c r="B58" s="11" t="s">
        <v>50</v>
      </c>
      <c r="C58" s="11"/>
      <c r="D58" s="12">
        <v>619</v>
      </c>
      <c r="E58" s="17"/>
    </row>
    <row r="59" spans="1:8">
      <c r="A59" s="1"/>
      <c r="D59" s="5"/>
      <c r="E59" s="19"/>
    </row>
    <row r="60" spans="1:8">
      <c r="A60" s="10"/>
      <c r="B60" s="10" t="s">
        <v>51</v>
      </c>
      <c r="C60" s="11"/>
      <c r="D60" s="12"/>
      <c r="E60" s="17">
        <f>SUM(E61:E70)</f>
        <v>13822</v>
      </c>
    </row>
    <row r="61" spans="1:8">
      <c r="A61" s="1"/>
      <c r="C61" t="s">
        <v>52</v>
      </c>
      <c r="D61" s="7">
        <v>628</v>
      </c>
      <c r="E61" s="14"/>
    </row>
    <row r="62" spans="1:8">
      <c r="A62" s="1"/>
      <c r="C62" t="s">
        <v>53</v>
      </c>
      <c r="D62" s="7">
        <v>628</v>
      </c>
      <c r="E62" s="14">
        <v>13702.0</v>
      </c>
    </row>
    <row r="63" spans="1:8">
      <c r="A63" s="1"/>
      <c r="C63" t="s">
        <v>54</v>
      </c>
      <c r="D63" s="7">
        <v>628</v>
      </c>
      <c r="E63" s="14">
        <v>120.0</v>
      </c>
    </row>
    <row r="64" spans="1:8">
      <c r="A64" s="1"/>
      <c r="C64" t="s">
        <v>55</v>
      </c>
      <c r="D64" s="7">
        <v>670</v>
      </c>
      <c r="E64" s="14"/>
    </row>
    <row r="65" spans="1:8">
      <c r="A65" s="1"/>
      <c r="C65" t="s">
        <v>56</v>
      </c>
      <c r="D65" s="7">
        <v>628</v>
      </c>
      <c r="E65" s="14"/>
    </row>
    <row r="66" spans="1:8">
      <c r="A66" s="1"/>
      <c r="C66" t="s">
        <v>57</v>
      </c>
      <c r="D66" s="7">
        <v>628</v>
      </c>
      <c r="E66" s="14"/>
    </row>
    <row r="67" spans="1:8">
      <c r="A67" s="1"/>
      <c r="C67" t="s">
        <v>58</v>
      </c>
      <c r="D67" s="7">
        <v>621</v>
      </c>
      <c r="E67" s="14"/>
    </row>
    <row r="68" spans="1:8">
      <c r="A68" s="1"/>
      <c r="C68" t="s">
        <v>59</v>
      </c>
      <c r="D68" s="7">
        <v>613</v>
      </c>
      <c r="E68" s="14"/>
    </row>
    <row r="69" spans="1:8">
      <c r="A69" s="1"/>
      <c r="C69" t="s">
        <v>60</v>
      </c>
      <c r="D69" s="7">
        <v>628</v>
      </c>
      <c r="E69" s="14"/>
    </row>
    <row r="70" spans="1:8">
      <c r="A70" s="1"/>
      <c r="C70" t="s">
        <v>61</v>
      </c>
      <c r="D70" s="7">
        <v>418</v>
      </c>
      <c r="E70" s="14"/>
    </row>
    <row r="71" spans="1:8">
      <c r="A71" s="1"/>
      <c r="D71" s="7"/>
      <c r="E71" s="14"/>
    </row>
    <row r="72" spans="1:8">
      <c r="A72" s="10" t="s">
        <v>62</v>
      </c>
      <c r="B72" s="11"/>
      <c r="C72" s="11"/>
      <c r="D72" s="12"/>
      <c r="E72" s="15">
        <f>SUM(E73,E77,E81,E83)</f>
        <v>0</v>
      </c>
    </row>
    <row r="73" spans="1:8">
      <c r="A73" s="10"/>
      <c r="B73" s="10" t="s">
        <v>63</v>
      </c>
      <c r="C73" s="11"/>
      <c r="D73" s="12"/>
      <c r="E73" s="17">
        <f>SUM(E74:E75)</f>
        <v>0</v>
      </c>
    </row>
    <row r="74" spans="1:8">
      <c r="A74" s="1"/>
      <c r="C74" t="s">
        <v>64</v>
      </c>
      <c r="D74" s="7">
        <v>633</v>
      </c>
      <c r="E74" s="14"/>
    </row>
    <row r="75" spans="1:8">
      <c r="A75" s="1"/>
      <c r="C75" t="s">
        <v>65</v>
      </c>
      <c r="D75" s="7">
        <v>628</v>
      </c>
      <c r="E75" s="14"/>
    </row>
    <row r="76" spans="1:8">
      <c r="A76" s="1"/>
      <c r="D76" s="7"/>
      <c r="E76" s="14"/>
    </row>
    <row r="77" spans="1:8">
      <c r="A77" s="10"/>
      <c r="B77" s="10" t="s">
        <v>66</v>
      </c>
      <c r="C77" s="11"/>
      <c r="D77" s="12"/>
      <c r="E77" s="17">
        <f>SUM(E78:E79)</f>
        <v>0</v>
      </c>
    </row>
    <row r="78" spans="1:8">
      <c r="A78" s="1"/>
      <c r="C78" t="s">
        <v>67</v>
      </c>
      <c r="D78" s="7">
        <v>636</v>
      </c>
      <c r="E78" s="14"/>
    </row>
    <row r="79" spans="1:8">
      <c r="A79" s="1"/>
      <c r="C79" t="s">
        <v>68</v>
      </c>
      <c r="D79" s="7">
        <v>636</v>
      </c>
      <c r="E79" s="14"/>
    </row>
    <row r="80" spans="1:8">
      <c r="A80" s="1"/>
      <c r="D80" s="7"/>
      <c r="E80" s="14"/>
    </row>
    <row r="81" spans="1:8">
      <c r="A81" s="10"/>
      <c r="B81" s="10" t="s">
        <v>69</v>
      </c>
      <c r="C81" s="11"/>
      <c r="D81" s="12">
        <v>637</v>
      </c>
      <c r="E81" s="17"/>
    </row>
    <row r="82" spans="1:8">
      <c r="A82" s="1"/>
      <c r="D82" s="7"/>
      <c r="E82" s="14"/>
    </row>
    <row r="83" spans="1:8">
      <c r="A83" s="10"/>
      <c r="B83" s="10" t="s">
        <v>70</v>
      </c>
      <c r="C83" s="11"/>
      <c r="D83" s="12"/>
      <c r="E83" s="17">
        <f>SUM(E84:E85)</f>
        <v>0</v>
      </c>
    </row>
    <row r="84" spans="1:8">
      <c r="A84" s="1"/>
      <c r="C84" t="s">
        <v>71</v>
      </c>
      <c r="D84" s="7"/>
      <c r="E84" s="14"/>
    </row>
    <row r="85" spans="1:8">
      <c r="A85" s="1"/>
      <c r="C85" t="s">
        <v>72</v>
      </c>
      <c r="D85" s="7">
        <v>639</v>
      </c>
      <c r="E85" s="14"/>
    </row>
    <row r="86" spans="1:8">
      <c r="A86" s="1"/>
      <c r="D86" s="7"/>
      <c r="E86" s="14"/>
    </row>
    <row r="87" spans="1:8">
      <c r="A87" s="10" t="s">
        <v>73</v>
      </c>
      <c r="B87" s="11"/>
      <c r="C87" s="11"/>
      <c r="D87" s="12"/>
      <c r="E87" s="20">
        <f>SUM(E72,E43,E22,E9)</f>
        <v>27186</v>
      </c>
    </row>
    <row r="88" spans="1:8">
      <c r="A88" s="1"/>
      <c r="D88" s="7"/>
      <c r="E88" s="14"/>
    </row>
    <row r="89" spans="1:8">
      <c r="A89" s="1" t="s">
        <v>74</v>
      </c>
      <c r="D89" s="7"/>
      <c r="E89" s="14"/>
    </row>
    <row r="90" spans="1:8">
      <c r="A90" s="10"/>
      <c r="B90" s="11" t="s">
        <v>75</v>
      </c>
      <c r="C90" s="11"/>
      <c r="D90" s="12">
        <v>665</v>
      </c>
      <c r="E90" s="20"/>
    </row>
    <row r="91" spans="1:8">
      <c r="A91" s="1"/>
      <c r="D91" s="7"/>
      <c r="E91" s="14"/>
    </row>
    <row r="92" spans="1:8">
      <c r="A92" s="10"/>
      <c r="B92" s="11"/>
      <c r="C92" s="13" t="s">
        <v>76</v>
      </c>
      <c r="D92" s="12"/>
      <c r="E92" s="21">
        <f>SUM(E87,E90)</f>
        <v>27186</v>
      </c>
    </row>
    <row r="93" spans="1:8">
      <c r="D93" s="5"/>
      <c r="E93" s="19"/>
    </row>
    <row r="94" spans="1:8">
      <c r="D94" s="5"/>
      <c r="E94" s="19"/>
    </row>
    <row r="95" spans="1:8">
      <c r="D95" s="4" t="s">
        <v>7</v>
      </c>
      <c r="E95" s="19"/>
    </row>
    <row r="96" spans="1:8">
      <c r="A96" s="1"/>
      <c r="D96" s="5"/>
      <c r="E96" s="19"/>
    </row>
    <row r="97" spans="1:8">
      <c r="A97" s="1"/>
      <c r="D97" s="5"/>
      <c r="E97" s="19"/>
    </row>
    <row r="98" spans="1:8">
      <c r="A98" s="1"/>
      <c r="C98" s="3" t="s">
        <v>8</v>
      </c>
      <c r="D98" s="5"/>
      <c r="E98" s="22" t="s">
        <v>9</v>
      </c>
    </row>
    <row r="99" spans="1:8">
      <c r="A99" s="1"/>
      <c r="C99" s="4" t="s">
        <v>10</v>
      </c>
      <c r="D99" s="5"/>
      <c r="E99" s="23" t="s">
        <v>11</v>
      </c>
    </row>
    <row r="100" spans="1:8">
      <c r="A100" s="1"/>
      <c r="E100" s="24"/>
    </row>
  </sheetData>
  <mergeCells>
    <mergeCell ref="A1:E1"/>
    <mergeCell ref="A2:E2"/>
    <mergeCell ref="A3:E3"/>
    <mergeCell ref="A5:E5"/>
    <mergeCell ref="A7:C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Municipality of Santa Maria</dc:creator>
  <cp:lastModifiedBy>Municipality of Santa Maria</cp:lastModifiedBy>
  <dcterms:created xsi:type="dcterms:W3CDTF">2025-08-17T13:15:58+02:00</dcterms:created>
  <dcterms:modified xsi:type="dcterms:W3CDTF">2025-08-17T13:15:58+02:00</dcterms:modified>
  <dc:title>Monthly Report of Revenue and Receipts</dc:title>
  <dc:description>Monthly report of revenue and receipts for August 2025</dc:description>
  <dc:subject>Monthly Report</dc:subject>
  <cp:keywords/>
  <cp:category/>
</cp:coreProperties>
</file>