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ngineering Shar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<sst xmlns="http://schemas.openxmlformats.org/spreadsheetml/2006/main" uniqueCount="30">
  <si>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Republic of the Philippines</t>
  </si>
  <si>
    <t>Province of Laguna</t>
  </si>
  <si>
    <t>Municipality of Santa Maria</t>
  </si>
  <si>
    <t>REPORT ON BUILDING, ELECTRICAL AND INSPECTION FEES</t>
  </si>
  <si>
    <t>MONTH</t>
  </si>
  <si>
    <t>INSPECTION FEES</t>
  </si>
  <si>
    <t>BUILDING PERMIT FEES</t>
  </si>
  <si>
    <t>ELECTRICAL FEES</t>
  </si>
  <si>
    <t>80% (LGU)</t>
  </si>
  <si>
    <t>5% (N.G)</t>
  </si>
  <si>
    <t>15% BLDG.
OFFICIALS</t>
  </si>
  <si>
    <t>INSPECTION</t>
  </si>
  <si>
    <t>BUILDING 
PERMIT</t>
  </si>
  <si>
    <t>ELECTRICAL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</si>
  <si>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</si>
  <si>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</si>
  <si>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</si>
  <si>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</si>
  <si>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</si>
  <si>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</si>
  <si>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</si>
  <si>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</si>
  <si>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</si>
  <si>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</si>
  <si>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</si>
  <si>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</si>
  <si>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</si>
  <si>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15% BLDG OFFICIALS</t>
  </si>
  <si>
    <t>Prepared by:</t>
  </si>
  <si>
    <t>Jazmin Dorado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</si>
</sst>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B050"/>
      <name val="Arial"/>
    </font>
    <font>
      <b val="1"/>
      <i val="1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4" fillId="0" borderId="1" applyFont="0" applyNumberFormat="1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0"/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4" fillId="0" borderId="10" applyFont="0" applyNumberFormat="1" applyFill="0" applyBorder="1" applyAlignment="1">
      <alignment horizontal="right" vertical="bottom" textRotation="0" wrapText="false" shrinkToFit="false"/>
    </xf>
    <xf xfId="0" fontId="0" numFmtId="4" fillId="0" borderId="11" applyFont="0" applyNumberFormat="1" applyFill="0" applyBorder="1" applyAlignment="1">
      <alignment horizontal="right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4" fillId="0" borderId="13" applyFont="0" applyNumberFormat="1" applyFill="0" applyBorder="1" applyAlignment="1">
      <alignment horizontal="right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4" fillId="0" borderId="15" applyFont="0" applyNumberFormat="1" applyFill="0" applyBorder="1" applyAlignment="1">
      <alignment horizontal="right" vertical="bottom" textRotation="0" wrapText="false" shrinkToFit="false"/>
    </xf>
    <xf xfId="0" fontId="0" numFmtId="4" fillId="0" borderId="16" applyFont="0" applyNumberFormat="1" applyFill="0" applyBorder="1" applyAlignment="1">
      <alignment horizontal="right" vertical="bottom" textRotation="0" wrapText="false" shrinkToFit="false"/>
    </xf>
    <xf xfId="0" fontId="0" numFmtId="4" fillId="0" borderId="7" applyFont="0" applyNumberFormat="1" applyFill="0" applyBorder="1" applyAlignment="1">
      <alignment horizontal="right" vertical="bottom" textRotation="0" wrapText="false" shrinkToFit="false"/>
    </xf>
    <xf xfId="0" fontId="0" numFmtId="4" fillId="0" borderId="8" applyFont="0" applyNumberFormat="1" applyFill="0" applyBorder="1" applyAlignment="1">
      <alignment horizontal="right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4" fillId="0" borderId="0" applyFont="0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9"/>
  <sheetViews>
    <sheetView tabSelected="1" workbookViewId="0" showGridLines="true" showRowColHeaders="1">
      <selection activeCell="K1" sqref="K1:K29"/>
    </sheetView>
  </sheetViews>
  <sheetFormatPr defaultRowHeight="14.4" outlineLevelRow="0" outlineLevelCol="0"/>
  <cols>
    <col min="1" max="1" width="15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5" customWidth="true" style="0"/>
    <col min="12" max="12" width="12" customWidth="true" style="0"/>
    <col min="13" max="13" width="15" customWidth="true" style="0"/>
    <col min="14" max="14" width="12" customWidth="true" style="0"/>
  </cols>
  <sheetData>
    <row r="1" spans="1:14" customHeight="1" ht="18">
      <c r="A1" s="1" t="s">
        <v>0</v>
      </c>
    </row>
    <row r="2" spans="1:14" customHeight="1" ht="18">
      <c r="A2" s="1" t="s">
        <v>1</v>
      </c>
    </row>
    <row r="3" spans="1:14" customHeight="1" ht="18">
      <c r="A3" s="1" t="s">
        <v>2</v>
      </c>
    </row>
    <row r="4" spans="1:14">
      <c r="A4" s="2"/>
    </row>
    <row r="5" spans="1:14" customHeight="1" ht="20">
      <c r="A5" s="10" t="s">
        <v>3</v>
      </c>
      <c r="B5" s="11"/>
      <c r="C5" s="11"/>
      <c r="D5" s="11"/>
      <c r="E5" s="11"/>
      <c r="F5" s="11"/>
      <c r="G5" s="11"/>
      <c r="H5" s="11"/>
      <c r="I5" s="11"/>
      <c r="J5" s="12"/>
    </row>
    <row r="7" spans="1:14" customHeight="1" ht="18">
      <c r="A7" s="13" t="s">
        <v>4</v>
      </c>
      <c r="B7" s="13" t="s">
        <v>5</v>
      </c>
      <c r="C7" s="13"/>
      <c r="D7" s="13"/>
      <c r="E7" s="13" t="s">
        <v>6</v>
      </c>
      <c r="F7" s="13"/>
      <c r="G7" s="13"/>
      <c r="H7" s="13" t="s">
        <v>7</v>
      </c>
      <c r="I7" s="13"/>
      <c r="J7" s="13"/>
      <c r="K7" s="3"/>
      <c r="L7" s="3"/>
      <c r="M7" s="3"/>
      <c r="N7" s="3"/>
    </row>
    <row r="8" spans="1:14" customHeight="1" ht="50">
      <c r="A8" s="14"/>
      <c r="B8" s="17" t="s">
        <v>8</v>
      </c>
      <c r="C8" s="20" t="s">
        <v>9</v>
      </c>
      <c r="D8" s="22" t="s">
        <v>10</v>
      </c>
      <c r="E8" s="17" t="s">
        <v>8</v>
      </c>
      <c r="F8" s="20" t="s">
        <v>9</v>
      </c>
      <c r="G8" s="22" t="s">
        <v>10</v>
      </c>
      <c r="H8" s="17" t="s">
        <v>8</v>
      </c>
      <c r="I8" s="20" t="s">
        <v>9</v>
      </c>
      <c r="J8" s="22" t="s">
        <v>10</v>
      </c>
      <c r="K8" s="3"/>
      <c r="L8" s="14" t="s">
        <v>11</v>
      </c>
      <c r="M8" s="27" t="s">
        <v>12</v>
      </c>
      <c r="N8" s="14" t="s">
        <v>13</v>
      </c>
    </row>
    <row r="9" spans="1:14" customHeight="1" ht="18">
      <c r="A9" s="15" t="s">
        <v>14</v>
      </c>
      <c r="B9" s="18">
        <f>L9*0.80</f>
        <v>0</v>
      </c>
      <c r="C9" s="5">
        <f>L9*0.05</f>
        <v>0</v>
      </c>
      <c r="D9" s="23">
        <f>L9*0.15</f>
        <v>0</v>
      </c>
      <c r="E9" s="18">
        <f>M9*0.80</f>
        <v>0</v>
      </c>
      <c r="F9" s="5">
        <f>M9*0.05</f>
        <v>0</v>
      </c>
      <c r="G9" s="23">
        <f>M9*0.15</f>
        <v>0</v>
      </c>
      <c r="H9" s="18">
        <f>N9*0.80</f>
        <v>0</v>
      </c>
      <c r="I9" s="5">
        <f>N9*0.05</f>
        <v>0</v>
      </c>
      <c r="J9" s="23">
        <f>N9*0.15</f>
        <v>0</v>
      </c>
      <c r="K9" s="28"/>
      <c r="L9" s="25">
        <v>0.0</v>
      </c>
      <c r="M9" s="25">
        <v>0.0</v>
      </c>
      <c r="N9" s="25">
        <v>0.0</v>
      </c>
    </row>
    <row r="10" spans="1:14" customHeight="1" ht="18">
      <c r="A10" s="15" t="s">
        <v>15</v>
      </c>
      <c r="B10" s="18">
        <f>L10*0.80</f>
        <v>0</v>
      </c>
      <c r="C10" s="5">
        <f>L10*0.05</f>
        <v>0</v>
      </c>
      <c r="D10" s="23">
        <f>L10*0.15</f>
        <v>0</v>
      </c>
      <c r="E10" s="18">
        <f>M10*0.80</f>
        <v>0</v>
      </c>
      <c r="F10" s="5">
        <f>M10*0.05</f>
        <v>0</v>
      </c>
      <c r="G10" s="23">
        <f>M10*0.15</f>
        <v>0</v>
      </c>
      <c r="H10" s="18">
        <f>N10*0.80</f>
        <v>0</v>
      </c>
      <c r="I10" s="5">
        <f>N10*0.05</f>
        <v>0</v>
      </c>
      <c r="J10" s="23">
        <f>N10*0.15</f>
        <v>0</v>
      </c>
      <c r="K10" s="28"/>
      <c r="L10" s="25">
        <v>0.0</v>
      </c>
      <c r="M10" s="25">
        <v>0.0</v>
      </c>
      <c r="N10" s="25">
        <v>0.0</v>
      </c>
    </row>
    <row r="11" spans="1:14" customHeight="1" ht="18">
      <c r="A11" s="15" t="s">
        <v>16</v>
      </c>
      <c r="B11" s="18">
        <f>L11*0.80</f>
        <v>0</v>
      </c>
      <c r="C11" s="5">
        <f>L11*0.05</f>
        <v>0</v>
      </c>
      <c r="D11" s="23">
        <f>L11*0.15</f>
        <v>0</v>
      </c>
      <c r="E11" s="18">
        <f>M11*0.80</f>
        <v>0</v>
      </c>
      <c r="F11" s="5">
        <f>M11*0.05</f>
        <v>0</v>
      </c>
      <c r="G11" s="23">
        <f>M11*0.15</f>
        <v>0</v>
      </c>
      <c r="H11" s="18">
        <f>N11*0.80</f>
        <v>0</v>
      </c>
      <c r="I11" s="5">
        <f>N11*0.05</f>
        <v>0</v>
      </c>
      <c r="J11" s="23">
        <f>N11*0.15</f>
        <v>0</v>
      </c>
      <c r="K11" s="28"/>
      <c r="L11" s="25">
        <v>0.0</v>
      </c>
      <c r="M11" s="25">
        <v>0.0</v>
      </c>
      <c r="N11" s="25">
        <v>0.0</v>
      </c>
    </row>
    <row r="12" spans="1:14" customHeight="1" ht="18">
      <c r="A12" s="15" t="s">
        <v>17</v>
      </c>
      <c r="B12" s="18">
        <f>L12*0.80</f>
        <v>0</v>
      </c>
      <c r="C12" s="5">
        <f>L12*0.05</f>
        <v>0</v>
      </c>
      <c r="D12" s="23">
        <f>L12*0.15</f>
        <v>0</v>
      </c>
      <c r="E12" s="18">
        <f>M12*0.80</f>
        <v>0</v>
      </c>
      <c r="F12" s="5">
        <f>M12*0.05</f>
        <v>0</v>
      </c>
      <c r="G12" s="23">
        <f>M12*0.15</f>
        <v>0</v>
      </c>
      <c r="H12" s="18">
        <f>N12*0.80</f>
        <v>0</v>
      </c>
      <c r="I12" s="5">
        <f>N12*0.05</f>
        <v>0</v>
      </c>
      <c r="J12" s="23">
        <f>N12*0.15</f>
        <v>0</v>
      </c>
      <c r="K12" s="28"/>
      <c r="L12" s="25">
        <v>0.0</v>
      </c>
      <c r="M12" s="25">
        <v>0.0</v>
      </c>
      <c r="N12" s="25">
        <v>0.0</v>
      </c>
    </row>
    <row r="13" spans="1:14" customHeight="1" ht="18">
      <c r="A13" s="15" t="s">
        <v>18</v>
      </c>
      <c r="B13" s="18">
        <f>L13*0.80</f>
        <v>0</v>
      </c>
      <c r="C13" s="5">
        <f>L13*0.05</f>
        <v>0</v>
      </c>
      <c r="D13" s="23">
        <f>L13*0.15</f>
        <v>0</v>
      </c>
      <c r="E13" s="18">
        <f>M13*0.80</f>
        <v>0</v>
      </c>
      <c r="F13" s="5">
        <f>M13*0.05</f>
        <v>0</v>
      </c>
      <c r="G13" s="23">
        <f>M13*0.15</f>
        <v>0</v>
      </c>
      <c r="H13" s="18">
        <f>N13*0.80</f>
        <v>0</v>
      </c>
      <c r="I13" s="5">
        <f>N13*0.05</f>
        <v>0</v>
      </c>
      <c r="J13" s="23">
        <f>N13*0.15</f>
        <v>0</v>
      </c>
      <c r="K13" s="28"/>
      <c r="L13" s="25">
        <v>0.0</v>
      </c>
      <c r="M13" s="25">
        <v>0.0</v>
      </c>
      <c r="N13" s="25">
        <v>0.0</v>
      </c>
    </row>
    <row r="14" spans="1:14" customHeight="1" ht="18">
      <c r="A14" s="15" t="s">
        <v>19</v>
      </c>
      <c r="B14" s="18">
        <f>L14*0.80</f>
        <v>0</v>
      </c>
      <c r="C14" s="5">
        <f>L14*0.05</f>
        <v>0</v>
      </c>
      <c r="D14" s="23">
        <f>L14*0.15</f>
        <v>0</v>
      </c>
      <c r="E14" s="18">
        <f>M14*0.80</f>
        <v>0</v>
      </c>
      <c r="F14" s="5">
        <f>M14*0.05</f>
        <v>0</v>
      </c>
      <c r="G14" s="23">
        <f>M14*0.15</f>
        <v>0</v>
      </c>
      <c r="H14" s="18">
        <f>N14*0.80</f>
        <v>0</v>
      </c>
      <c r="I14" s="5">
        <f>N14*0.05</f>
        <v>0</v>
      </c>
      <c r="J14" s="23">
        <f>N14*0.15</f>
        <v>0</v>
      </c>
      <c r="K14" s="28"/>
      <c r="L14" s="25">
        <v>0.0</v>
      </c>
      <c r="M14" s="25">
        <v>0.0</v>
      </c>
      <c r="N14" s="25">
        <v>0.0</v>
      </c>
    </row>
    <row r="15" spans="1:14" customHeight="1" ht="18">
      <c r="A15" s="15" t="s">
        <v>20</v>
      </c>
      <c r="B15" s="18">
        <f>L15*0.80</f>
        <v>0</v>
      </c>
      <c r="C15" s="5">
        <f>L15*0.05</f>
        <v>0</v>
      </c>
      <c r="D15" s="23">
        <f>L15*0.15</f>
        <v>0</v>
      </c>
      <c r="E15" s="18">
        <f>M15*0.80</f>
        <v>0</v>
      </c>
      <c r="F15" s="5">
        <f>M15*0.05</f>
        <v>0</v>
      </c>
      <c r="G15" s="23">
        <f>M15*0.15</f>
        <v>0</v>
      </c>
      <c r="H15" s="18">
        <f>N15*0.80</f>
        <v>0</v>
      </c>
      <c r="I15" s="5">
        <f>N15*0.05</f>
        <v>0</v>
      </c>
      <c r="J15" s="23">
        <f>N15*0.15</f>
        <v>0</v>
      </c>
      <c r="K15" s="28"/>
      <c r="L15" s="25">
        <v>0.0</v>
      </c>
      <c r="M15" s="25">
        <v>0.0</v>
      </c>
      <c r="N15" s="25">
        <v>0.0</v>
      </c>
    </row>
    <row r="16" spans="1:14" customHeight="1" ht="18">
      <c r="A16" s="15" t="s">
        <v>21</v>
      </c>
      <c r="B16" s="18">
        <f>L16*0.80</f>
        <v>800</v>
      </c>
      <c r="C16" s="5">
        <f>L16*0.05</f>
        <v>50</v>
      </c>
      <c r="D16" s="23">
        <f>L16*0.15</f>
        <v>150</v>
      </c>
      <c r="E16" s="18">
        <f>M16*0.80</f>
        <v>8336</v>
      </c>
      <c r="F16" s="5">
        <f>M16*0.05</f>
        <v>521</v>
      </c>
      <c r="G16" s="23">
        <f>M16*0.15</f>
        <v>1563</v>
      </c>
      <c r="H16" s="18">
        <f>N16*0.80</f>
        <v>10961.6</v>
      </c>
      <c r="I16" s="5">
        <f>N16*0.05</f>
        <v>685.1</v>
      </c>
      <c r="J16" s="23">
        <f>N16*0.15</f>
        <v>2055.3</v>
      </c>
      <c r="K16" s="28"/>
      <c r="L16" s="25">
        <v>1000.0</v>
      </c>
      <c r="M16" s="25">
        <v>10420.0</v>
      </c>
      <c r="N16" s="25">
        <v>13702.0</v>
      </c>
    </row>
    <row r="17" spans="1:14" customHeight="1" ht="18">
      <c r="A17" s="15" t="s">
        <v>22</v>
      </c>
      <c r="B17" s="18">
        <f>L17*0.80</f>
        <v>0</v>
      </c>
      <c r="C17" s="5">
        <f>L17*0.05</f>
        <v>0</v>
      </c>
      <c r="D17" s="23">
        <f>L17*0.15</f>
        <v>0</v>
      </c>
      <c r="E17" s="18">
        <f>M17*0.80</f>
        <v>0</v>
      </c>
      <c r="F17" s="5">
        <f>M17*0.05</f>
        <v>0</v>
      </c>
      <c r="G17" s="23">
        <f>M17*0.15</f>
        <v>0</v>
      </c>
      <c r="H17" s="18">
        <f>N17*0.80</f>
        <v>0</v>
      </c>
      <c r="I17" s="5">
        <f>N17*0.05</f>
        <v>0</v>
      </c>
      <c r="J17" s="23">
        <f>N17*0.15</f>
        <v>0</v>
      </c>
      <c r="K17" s="28"/>
      <c r="L17" s="25">
        <v>0.0</v>
      </c>
      <c r="M17" s="25">
        <v>0.0</v>
      </c>
      <c r="N17" s="25">
        <v>0.0</v>
      </c>
    </row>
    <row r="18" spans="1:14" customHeight="1" ht="18">
      <c r="A18" s="15" t="s">
        <v>23</v>
      </c>
      <c r="B18" s="18">
        <f>L18*0.80</f>
        <v>0</v>
      </c>
      <c r="C18" s="5">
        <f>L18*0.05</f>
        <v>0</v>
      </c>
      <c r="D18" s="23">
        <f>L18*0.15</f>
        <v>0</v>
      </c>
      <c r="E18" s="18">
        <f>M18*0.80</f>
        <v>0</v>
      </c>
      <c r="F18" s="5">
        <f>M18*0.05</f>
        <v>0</v>
      </c>
      <c r="G18" s="23">
        <f>M18*0.15</f>
        <v>0</v>
      </c>
      <c r="H18" s="18">
        <f>N18*0.80</f>
        <v>0</v>
      </c>
      <c r="I18" s="5">
        <f>N18*0.05</f>
        <v>0</v>
      </c>
      <c r="J18" s="23">
        <f>N18*0.15</f>
        <v>0</v>
      </c>
      <c r="K18" s="28"/>
      <c r="L18" s="25">
        <v>0.0</v>
      </c>
      <c r="M18" s="25">
        <v>0.0</v>
      </c>
      <c r="N18" s="25">
        <v>0.0</v>
      </c>
    </row>
    <row r="19" spans="1:14" customHeight="1" ht="18">
      <c r="A19" s="15" t="s">
        <v>24</v>
      </c>
      <c r="B19" s="18">
        <f>L19*0.80</f>
        <v>0</v>
      </c>
      <c r="C19" s="5">
        <f>L19*0.05</f>
        <v>0</v>
      </c>
      <c r="D19" s="23">
        <f>L19*0.15</f>
        <v>0</v>
      </c>
      <c r="E19" s="18">
        <f>M19*0.80</f>
        <v>0</v>
      </c>
      <c r="F19" s="5">
        <f>M19*0.05</f>
        <v>0</v>
      </c>
      <c r="G19" s="23">
        <f>M19*0.15</f>
        <v>0</v>
      </c>
      <c r="H19" s="18">
        <f>N19*0.80</f>
        <v>0</v>
      </c>
      <c r="I19" s="5">
        <f>N19*0.05</f>
        <v>0</v>
      </c>
      <c r="J19" s="23">
        <f>N19*0.15</f>
        <v>0</v>
      </c>
      <c r="K19" s="28"/>
      <c r="L19" s="25">
        <v>0.0</v>
      </c>
      <c r="M19" s="25">
        <v>0.0</v>
      </c>
      <c r="N19" s="25">
        <v>0.0</v>
      </c>
    </row>
    <row r="20" spans="1:14" customHeight="1" ht="18">
      <c r="A20" s="16" t="s">
        <v>25</v>
      </c>
      <c r="B20" s="19">
        <f>L20*0.80</f>
        <v>0</v>
      </c>
      <c r="C20" s="21">
        <f>L20*0.05</f>
        <v>0</v>
      </c>
      <c r="D20" s="24">
        <f>L20*0.15</f>
        <v>0</v>
      </c>
      <c r="E20" s="19">
        <f>M20*0.80</f>
        <v>0</v>
      </c>
      <c r="F20" s="21">
        <f>M20*0.05</f>
        <v>0</v>
      </c>
      <c r="G20" s="24">
        <f>M20*0.15</f>
        <v>0</v>
      </c>
      <c r="H20" s="19">
        <f>N20*0.80</f>
        <v>0</v>
      </c>
      <c r="I20" s="21">
        <f>N20*0.05</f>
        <v>0</v>
      </c>
      <c r="J20" s="24">
        <f>N20*0.15</f>
        <v>0</v>
      </c>
      <c r="K20" s="28"/>
      <c r="L20" s="26">
        <v>0.0</v>
      </c>
      <c r="M20" s="26">
        <v>0.0</v>
      </c>
      <c r="N20" s="26">
        <v>0.0</v>
      </c>
    </row>
    <row r="22" spans="1:14" customHeight="1" ht="18">
      <c r="A22" s="7" t="s">
        <v>26</v>
      </c>
      <c r="B22" s="7">
        <f>SUM(B9:B20)</f>
        <v>800</v>
      </c>
      <c r="C22" s="7">
        <f>SUM(C9:C20)</f>
        <v>50</v>
      </c>
      <c r="D22" s="7">
        <f>SUM(D9:D20)</f>
        <v>150</v>
      </c>
      <c r="E22" s="7">
        <f>SUM(E9:E20)</f>
        <v>8336</v>
      </c>
      <c r="F22" s="7">
        <f>SUM(F9:F20)</f>
        <v>521</v>
      </c>
      <c r="G22" s="7">
        <f>SUM(G9:G20)</f>
        <v>1563</v>
      </c>
      <c r="H22" s="7">
        <f>SUM(H9:H20)</f>
        <v>10961.6</v>
      </c>
      <c r="I22" s="7">
        <f>SUM(I9:I20)</f>
        <v>685.1</v>
      </c>
      <c r="J22" s="7">
        <f>SUM(J9:J20)</f>
        <v>2055.3</v>
      </c>
      <c r="K22" s="6"/>
      <c r="L22" s="7">
        <f>SUM(L9:L20)</f>
        <v>1000</v>
      </c>
      <c r="M22" s="7">
        <f>SUM(M9:M20)</f>
        <v>10420</v>
      </c>
      <c r="N22" s="7">
        <f>SUM(N9:N20)</f>
        <v>13702</v>
      </c>
    </row>
    <row r="24" spans="1:14" customHeight="1" ht="18">
      <c r="A24" s="4"/>
      <c r="B24" s="4"/>
      <c r="C24" s="8" t="s">
        <v>26</v>
      </c>
    </row>
    <row r="25" spans="1:14" customHeight="1" ht="18">
      <c r="A25" s="4" t="s">
        <v>8</v>
      </c>
      <c r="B25" s="4"/>
      <c r="C25" s="9">
        <f>SUM(B22,E22,H22)</f>
        <v>20097.6</v>
      </c>
    </row>
    <row r="26" spans="1:14" customHeight="1" ht="18">
      <c r="A26" s="4" t="s">
        <v>9</v>
      </c>
      <c r="B26" s="4"/>
      <c r="C26" s="9">
        <f>SUM(C22,F22,I22)</f>
        <v>1256.1</v>
      </c>
    </row>
    <row r="27" spans="1:14" customHeight="1" ht="18">
      <c r="A27" s="4" t="s">
        <v>27</v>
      </c>
      <c r="B27" s="4"/>
      <c r="C27" s="9">
        <f>SUM(D22,G22,J22)</f>
        <v>3768.3</v>
      </c>
    </row>
    <row r="29" spans="1:14">
      <c r="A29" t="s">
        <v>28</v>
      </c>
      <c r="B29" s="1" t="s">
        <v>29</v>
      </c>
    </row>
  </sheetData>
  <mergeCells>
    <mergeCell ref="A1:J1"/>
    <mergeCell ref="A2:J2"/>
    <mergeCell ref="A3:J3"/>
    <mergeCell ref="A4:J4"/>
    <mergeCell ref="A5:J5"/>
    <mergeCell ref="A7:A7"/>
    <mergeCell ref="B7:D7"/>
    <mergeCell ref="E7:G7"/>
    <mergeCell ref="H7:J7"/>
    <mergeCell ref="A24:B24"/>
    <mergeCell ref="A25:B25"/>
    <mergeCell ref="A26:B26"/>
    <mergeCell ref="A27:B27"/>
    <mergeCell ref="B29:C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Engineering Share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2025-08-13T21:00:52+02:00</dcterms:created>
  <dcterms:modified xsi:type="dcterms:W3CDTF">2025-08-13T21:00:52+02:00</dcterms:modified>
  <dc:title>Untitled Spreadsheet</dc:title>
  <dc:description/>
  <dc:subject/>
  <cp:keywords/>
  <cp:category/>
</cp:coreProperties>
</file>